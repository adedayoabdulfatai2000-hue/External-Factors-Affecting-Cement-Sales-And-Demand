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AppData\Roaming\Microsoft\Windows\Network Shortcuts\"/>
    </mc:Choice>
  </mc:AlternateContent>
  <xr:revisionPtr revIDLastSave="0" documentId="13_ncr:1_{FE416BCD-BDC3-4112-B449-51F22A40AAC5}" xr6:coauthVersionLast="47" xr6:coauthVersionMax="47" xr10:uidLastSave="{00000000-0000-0000-0000-000000000000}"/>
  <bookViews>
    <workbookView xWindow="-110" yWindow="-110" windowWidth="19420" windowHeight="10300" tabRatio="599" firstSheet="5" activeTab="6" xr2:uid="{00000000-000D-0000-FFFF-FFFF00000000}"/>
  </bookViews>
  <sheets>
    <sheet name="Clean Data" sheetId="24" r:id="rId1"/>
    <sheet name="Pivot Chart" sheetId="23" r:id="rId2"/>
    <sheet name="Research Question" sheetId="5" r:id="rId3"/>
    <sheet name="Interpretation " sheetId="33" r:id="rId4"/>
    <sheet name="Regression For Gdp" sheetId="10" r:id="rId5"/>
    <sheet name="Regression For Disbursement" sheetId="26" r:id="rId6"/>
    <sheet name="Regression For Interestrate" sheetId="27" r:id="rId7"/>
    <sheet name="Dashboard" sheetId="15" r:id="rId8"/>
    <sheet name="Summary Report" sheetId="14" r:id="rId9"/>
  </sheets>
  <definedNames>
    <definedName name="_xlnm._FilterDatabase" localSheetId="5" hidden="1">'Regression For Disbursement'!$A$1:$H$1</definedName>
    <definedName name="_xlnm._FilterDatabase" localSheetId="4" hidden="1">'Regression For Gdp'!$A$1:$H$1</definedName>
    <definedName name="_xlnm._FilterDatabase" localSheetId="6" hidden="1">'Regression For Interestrate'!$A$1:$H$1</definedName>
    <definedName name="Slicer_Disbursement">#N/A</definedName>
    <definedName name="Slicer_Gdp">#N/A</definedName>
    <definedName name="Slicer_Interest_Rate">#N/A</definedName>
    <definedName name="Slicer_Production1">#N/A</definedName>
    <definedName name="Slicer_Sales">#N/A</definedName>
  </definedNames>
  <calcPr calcId="191029"/>
  <pivotCaches>
    <pivotCache cacheId="0" r:id="rId10"/>
    <pivotCache cacheId="9"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<sst xmlns="http://schemas.openxmlformats.org/spreadsheetml/2006/main" count="203" uniqueCount="67">
  <si>
    <t>Production</t>
  </si>
  <si>
    <t>Demand</t>
  </si>
  <si>
    <t>Population</t>
  </si>
  <si>
    <t>Gdp</t>
  </si>
  <si>
    <t>Interestrate</t>
  </si>
  <si>
    <t xml:space="preserve"> </t>
  </si>
  <si>
    <t>Row Labels</t>
  </si>
  <si>
    <t>Grand Total</t>
  </si>
  <si>
    <t>Jan</t>
  </si>
  <si>
    <t>Feb</t>
  </si>
  <si>
    <t>Mar</t>
  </si>
  <si>
    <t>Apr</t>
  </si>
  <si>
    <t>May</t>
  </si>
  <si>
    <t>Jun</t>
  </si>
  <si>
    <t>Jul</t>
  </si>
  <si>
    <t>Aug</t>
  </si>
  <si>
    <t>Sep</t>
  </si>
  <si>
    <t>Oct</t>
  </si>
  <si>
    <t>Nov</t>
  </si>
  <si>
    <t>Dec</t>
  </si>
  <si>
    <t>Sales</t>
  </si>
  <si>
    <t>Disbursement</t>
  </si>
  <si>
    <t>Months</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</si>
  <si>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</si>
  <si>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</si>
  <si>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</si>
  <si>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</si>
  <si>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</si>
  <si>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</si>
  <si>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</si>
  <si>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</si>
  <si>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</si>
  <si>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</si>
  <si>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</si>
  <si>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</si>
  <si>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</si>
  <si>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</si>
  <si>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</si>
  <si>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</si>
  <si>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</si>
  <si>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</si>
  <si>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</si>
  <si>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</si>
  <si>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</si>
  <si>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</si>
  <si>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</si>
  <si>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</si>
  <si>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</si>
  <si>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Residuals</t>
  </si>
  <si>
    <t>Standard Residuals</t>
  </si>
  <si>
    <t>PROBABILITY OUTPUT</t>
  </si>
  <si>
    <t>Percentile</t>
  </si>
  <si>
    <t>Interest Rate</t>
  </si>
  <si>
    <t>Month</t>
  </si>
  <si>
    <t>Average of Production</t>
  </si>
  <si>
    <t>Average of Sales</t>
  </si>
  <si>
    <t>Predicted 182277</t>
  </si>
  <si>
    <t>SUMMARY FOR GDP INFLUENCE OVER CEMENT PRODUCTION AND SALES</t>
  </si>
  <si>
    <t>0.39*100=39%</t>
  </si>
  <si>
    <t>SUMMARY FOR DISBURSEMENT INFLUENCE ON CEMENT SALES AND PRODUCTION</t>
  </si>
  <si>
    <t>SUMMARY FOR INTERESTRATE INFLUENCE ON CEMENT DEMAND AND SALES</t>
  </si>
  <si>
    <t>0.19*100=19%</t>
  </si>
  <si>
    <t>0.21*100=21%</t>
  </si>
  <si>
    <t>Average of Gdp</t>
  </si>
  <si>
    <t>Average of Disbursement</t>
  </si>
  <si>
    <t>Average of Interest Rate</t>
  </si>
  <si>
    <t>Average of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</si>
</sst>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dd\,\ mmmm\ d\,\ 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1"/>
      <color rgb="FF000000"/>
      <name val="Calibri"/>
      <family val="2"/>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rgb="FFD9D9D9"/>
        <bgColor rgb="FFD9D9D9"/>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right/>
      <top/>
      <bottom style="medium">
        <color indexed="64"/>
      </bottom>
      <diagonal/>
    </border>
    <border>
      <left/>
      <right/>
      <top style="medium">
        <color indexed="64"/>
      </top>
      <bottom style="thin">
        <color indexed="64"/>
      </bottom>
      <diagonal/>
    </border>
    <border>
      <left style="thin">
        <color theme="1"/>
      </left>
      <right style="thin">
        <color theme="1"/>
      </right>
      <top style="thin">
        <color theme="1"/>
      </top>
      <bottom style="medium">
        <color rgb="FF000000"/>
      </bottom>
      <diagonal/>
    </border>
    <border>
      <left style="thin">
        <color theme="1"/>
      </left>
      <right style="thin">
        <color theme="1"/>
      </right>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10" xfId="0" applyFont="1" applyFill="1" applyBorder="1"/>
    <xf numFmtId="0" fontId="0" fillId="0" borderId="10" xfId="0" applyFont="1" applyBorder="1"/>
    <xf numFmtId="16" fontId="0" fillId="33" borderId="10" xfId="0" applyNumberFormat="1" applyFont="1" applyFill="1" applyBorder="1"/>
    <xf numFmtId="16" fontId="0" fillId="0" borderId="10" xfId="0" applyNumberFormat="1" applyFont="1" applyBorder="1"/>
    <xf numFmtId="16" fontId="0" fillId="33" borderId="11" xfId="0" applyNumberFormat="1" applyFont="1" applyFill="1" applyBorder="1"/>
    <xf numFmtId="0" fontId="0" fillId="33" borderId="11" xfId="0" applyFont="1" applyFill="1" applyBorder="1"/>
    <xf numFmtId="0" fontId="0" fillId="0" borderId="0" xfId="0" applyFill="1" applyBorder="1" applyAlignment="1"/>
    <xf numFmtId="0" fontId="0" fillId="0" borderId="12" xfId="0" applyFill="1" applyBorder="1" applyAlignment="1"/>
    <xf numFmtId="0" fontId="18" fillId="0" borderId="13" xfId="0" applyFont="1" applyFill="1" applyBorder="1" applyAlignment="1">
      <alignment horizontal="center"/>
    </xf>
    <xf numFmtId="0" fontId="18" fillId="0" borderId="13" xfId="0" applyFont="1" applyFill="1" applyBorder="1" applyAlignment="1">
      <alignment horizontal="centerContinuous"/>
    </xf>
    <xf numFmtId="0" fontId="19" fillId="34" borderId="10" xfId="0" applyFont="1" applyFill="1" applyBorder="1"/>
    <xf numFmtId="0" fontId="19" fillId="34" borderId="15" xfId="0" applyFont="1" applyFill="1" applyBorder="1"/>
    <xf numFmtId="0" fontId="19" fillId="34" borderId="11" xfId="0" applyFont="1" applyFill="1" applyBorder="1"/>
    <xf numFmtId="0" fontId="0" fillId="33" borderId="14" xfId="0" applyFont="1" applyFill="1" applyBorder="1"/>
    <xf numFmtId="0" fontId="0" fillId="33" borderId="15" xfId="0" applyFont="1" applyFill="1" applyBorder="1"/>
    <xf numFmtId="16"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numFmt numFmtId="21" formatCode="d\-mmm"/>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numFmt numFmtId="21" formatCode="d\-mmm"/>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border outline="0">
        <bottom style="medium">
          <color rgb="FF000000"/>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rgb="FF000000"/>
        <name val="Calibri"/>
        <family val="2"/>
        <scheme val="none"/>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numFmt numFmtId="21" formatCode="d\-mmm"/>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border outline="0">
        <bottom style="medium">
          <color rgb="FF000000"/>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1"/>
        <color theme="1"/>
        <name val="Calibri"/>
        <family val="2"/>
        <scheme val="minor"/>
      </font>
      <numFmt numFmtId="21" formatCode="d\-mmm"/>
      <fill>
        <patternFill patternType="solid">
          <fgColor theme="0" tint="-0.14999847407452621"/>
          <bgColor theme="0" tint="-0.14999847407452621"/>
        </patternFill>
      </fill>
      <border diagonalUp="0" diagonalDown="0">
        <left style="thin">
          <color theme="1"/>
        </left>
        <right style="thin">
          <color theme="1"/>
        </right>
        <top style="thin">
          <color theme="1"/>
        </top>
        <bottom style="thin">
          <color theme="1"/>
        </bottom>
        <vertical/>
        <horizontal/>
      </border>
    </dxf>
    <dxf>
      <border outline="0">
        <bottom style="medium">
          <color rgb="FF000000"/>
        </bottom>
      </border>
    </dxf>
    <dxf>
      <font>
        <b val="0"/>
        <i val="0"/>
        <strike val="0"/>
        <condense val="0"/>
        <extend val="0"/>
        <outline val="0"/>
        <shadow val="0"/>
        <u val="none"/>
        <vertAlign val="baseline"/>
        <sz val="11"/>
        <color rgb="FF000000"/>
        <name val="Calibri"/>
        <family val="2"/>
        <scheme val="none"/>
      </font>
      <fill>
        <patternFill patternType="solid">
          <fgColor rgb="FFD9D9D9"/>
          <bgColor rgb="FFD9D9D9"/>
        </patternFill>
      </fill>
    </dxf>
    <dxf>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21" formatCode="d\-mmm"/>
      <fill>
        <patternFill patternType="solid">
          <fgColor theme="4" tint="0.79998168889431442"/>
          <bgColor theme="4" tint="0.79998168889431442"/>
        </patternFill>
      </fill>
      <border diagonalUp="0" diagonalDown="0" outline="0">
        <left style="thin">
          <color theme="4" tint="0.39997558519241921"/>
        </left>
        <right/>
        <top style="thin">
          <color theme="4" tint="0.39997558519241921"/>
        </top>
        <bottom style="thin">
          <color theme="4" tint="0.39997558519241921"/>
        </bottom>
      </border>
    </dxf>
    <dxf>
      <border outline="0">
        <bottom style="thin">
          <color rgb="FF8EA9DB"/>
        </bottom>
      </border>
    </dxf>
    <dxf>
      <fill>
        <patternFill patternType="solid">
          <fgColor theme="4" tint="0.79998168889431442"/>
          <bgColor theme="4"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Cement</a:t>
            </a:r>
            <a:r>
              <a:rPr lang="en-US" baseline="0"/>
              <a:t> Production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Chart'!$B$3</c:f>
              <c:strCache>
                <c:ptCount val="1"/>
                <c:pt idx="0">
                  <c:v>Total</c:v>
                </c:pt>
              </c:strCache>
            </c:strRef>
          </c:tx>
          <c:spPr>
            <a:ln w="28575" cap="rnd">
              <a:solidFill>
                <a:schemeClr val="accent1"/>
              </a:solidFill>
              <a:round/>
            </a:ln>
            <a:effectLst/>
          </c:spPr>
          <c:marker>
            <c:symbol val="none"/>
          </c:marker>
          <c:cat>
            <c:strRef>
              <c:f>'Pivot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Chart'!$B$4:$B$16</c:f>
              <c:numCache>
                <c:formatCode>General</c:formatCode>
                <c:ptCount val="12"/>
                <c:pt idx="0">
                  <c:v>629.46153846153845</c:v>
                </c:pt>
                <c:pt idx="1">
                  <c:v>628.46153846153845</c:v>
                </c:pt>
                <c:pt idx="2">
                  <c:v>398.30769230769232</c:v>
                </c:pt>
                <c:pt idx="3">
                  <c:v>394.15384615384613</c:v>
                </c:pt>
                <c:pt idx="4">
                  <c:v>400.92307692307691</c:v>
                </c:pt>
                <c:pt idx="5">
                  <c:v>389.53846153846155</c:v>
                </c:pt>
                <c:pt idx="6">
                  <c:v>324.46153846153845</c:v>
                </c:pt>
                <c:pt idx="7">
                  <c:v>314.76923076923077</c:v>
                </c:pt>
                <c:pt idx="8">
                  <c:v>326.53846153846155</c:v>
                </c:pt>
                <c:pt idx="9">
                  <c:v>336.92307692307691</c:v>
                </c:pt>
                <c:pt idx="10">
                  <c:v>656.07692307692309</c:v>
                </c:pt>
                <c:pt idx="11">
                  <c:v>638.25</c:v>
                </c:pt>
              </c:numCache>
            </c:numRef>
          </c:val>
          <c:smooth val="0"/>
          <c:extLst>
            <c:ext xmlns:c16="http://schemas.microsoft.com/office/drawing/2014/chart" uri="{C3380CC4-5D6E-409C-BE32-E72D297353CC}">
              <c16:uniqueId val="{00000000-8C79-4213-886D-A7F25B7B559A}"/>
            </c:ext>
          </c:extLst>
        </c:ser>
        <c:dLbls>
          <c:showLegendKey val="0"/>
          <c:showVal val="0"/>
          <c:showCatName val="0"/>
          <c:showSerName val="0"/>
          <c:showPercent val="0"/>
          <c:showBubbleSize val="0"/>
        </c:dLbls>
        <c:smooth val="0"/>
        <c:axId val="1010837231"/>
        <c:axId val="1010836815"/>
      </c:lineChart>
      <c:catAx>
        <c:axId val="10108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836815"/>
        <c:crosses val="autoZero"/>
        <c:auto val="1"/>
        <c:lblAlgn val="ctr"/>
        <c:lblOffset val="100"/>
        <c:noMultiLvlLbl val="0"/>
      </c:catAx>
      <c:valAx>
        <c:axId val="101083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83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Cement Sales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Chart'!$B$19:$B$31</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0-67C3-41A6-827F-313EA6330DE3}"/>
            </c:ext>
          </c:extLst>
        </c:ser>
        <c:dLbls>
          <c:showLegendKey val="0"/>
          <c:showVal val="0"/>
          <c:showCatName val="0"/>
          <c:showSerName val="0"/>
          <c:showPercent val="0"/>
          <c:showBubbleSize val="0"/>
        </c:dLbls>
        <c:marker val="1"/>
        <c:smooth val="0"/>
        <c:axId val="1721320719"/>
        <c:axId val="1721321135"/>
      </c:lineChart>
      <c:catAx>
        <c:axId val="17213207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321135"/>
        <c:crosses val="autoZero"/>
        <c:auto val="1"/>
        <c:lblAlgn val="ctr"/>
        <c:lblOffset val="100"/>
        <c:noMultiLvlLbl val="0"/>
      </c:catAx>
      <c:valAx>
        <c:axId val="1721321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3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Chart!PivotTable1</c:name>
    <c:fmtId val="0"/>
  </c:pivotSource>
  <c:chart>
    <c:autoTitleDeleted val="0"/>
    <c:pivotFmts>
      <c:pivotFmt>
        <c:idx val="0"/>
        <c:spPr>
          <a:ln w="38100"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4712744240303297"/>
          <c:w val="0.52070953630796146"/>
          <c:h val="0.61882217847769028"/>
        </c:manualLayout>
      </c:layout>
      <c:lineChart>
        <c:grouping val="standard"/>
        <c:varyColors val="0"/>
        <c:ser>
          <c:idx val="0"/>
          <c:order val="0"/>
          <c:tx>
            <c:strRef>
              <c:f>'Pivot Chart'!$B$35</c:f>
              <c:strCache>
                <c:ptCount val="1"/>
                <c:pt idx="0">
                  <c:v>Average of Gdp</c:v>
                </c:pt>
              </c:strCache>
            </c:strRef>
          </c:tx>
          <c:spPr>
            <a:ln w="38100" cap="rnd">
              <a:solidFill>
                <a:schemeClr val="accent1"/>
              </a:solidFill>
              <a:round/>
            </a:ln>
            <a:effectLst/>
          </c:spPr>
          <c:marker>
            <c:symbol val="circle"/>
            <c:size val="8"/>
            <c:spPr>
              <a:solidFill>
                <a:schemeClr val="accent1"/>
              </a:solidFill>
              <a:ln>
                <a:noFill/>
              </a:ln>
              <a:effectLst/>
            </c:spPr>
          </c:marker>
          <c:cat>
            <c:strRef>
              <c:f>'Pivot Chart'!$A$36:$A$48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Chart'!$B$36:$B$48</c:f>
              <c:numCache>
                <c:formatCode>General</c:formatCode>
                <c:ptCount val="12"/>
                <c:pt idx="0">
                  <c:v>242552.7506153846</c:v>
                </c:pt>
                <c:pt idx="1">
                  <c:v>233041.22476923079</c:v>
                </c:pt>
                <c:pt idx="2">
                  <c:v>223529.69123076927</c:v>
                </c:pt>
                <c:pt idx="3">
                  <c:v>214018.13976923077</c:v>
                </c:pt>
                <c:pt idx="4">
                  <c:v>214823.06284615383</c:v>
                </c:pt>
                <c:pt idx="5">
                  <c:v>215627.98592307692</c:v>
                </c:pt>
                <c:pt idx="6">
                  <c:v>216432.90899999999</c:v>
                </c:pt>
                <c:pt idx="7">
                  <c:v>220842.90823076924</c:v>
                </c:pt>
                <c:pt idx="8">
                  <c:v>225252.90746153847</c:v>
                </c:pt>
                <c:pt idx="9">
                  <c:v>229662.90669230773</c:v>
                </c:pt>
                <c:pt idx="10">
                  <c:v>235733.39338461537</c:v>
                </c:pt>
                <c:pt idx="11">
                  <c:v>240893.25841666662</c:v>
                </c:pt>
              </c:numCache>
            </c:numRef>
          </c:val>
          <c:smooth val="0"/>
          <c:extLst>
            <c:ext xmlns:c16="http://schemas.microsoft.com/office/drawing/2014/chart" uri="{C3380CC4-5D6E-409C-BE32-E72D297353CC}">
              <c16:uniqueId val="{00000004-0ECA-410E-A6D0-83F1B73F79A5}"/>
            </c:ext>
          </c:extLst>
        </c:ser>
        <c:ser>
          <c:idx val="1"/>
          <c:order val="1"/>
          <c:tx>
            <c:strRef>
              <c:f>'Pivot Chart'!$C$35</c:f>
              <c:strCache>
                <c:ptCount val="1"/>
                <c:pt idx="0">
                  <c:v>Average of Production</c:v>
                </c:pt>
              </c:strCache>
            </c:strRef>
          </c:tx>
          <c:spPr>
            <a:ln w="38100" cap="rnd">
              <a:solidFill>
                <a:schemeClr val="accent2"/>
              </a:solidFill>
              <a:round/>
            </a:ln>
            <a:effectLst/>
          </c:spPr>
          <c:marker>
            <c:symbol val="circle"/>
            <c:size val="8"/>
            <c:spPr>
              <a:solidFill>
                <a:schemeClr val="accent2"/>
              </a:solidFill>
              <a:ln>
                <a:noFill/>
              </a:ln>
              <a:effectLst/>
            </c:spPr>
          </c:marker>
          <c:cat>
            <c:strRef>
              <c:f>'Pivot Chart'!$A$36:$A$48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Chart'!$C$36:$C$48</c:f>
              <c:numCache>
                <c:formatCode>General</c:formatCode>
                <c:ptCount val="12"/>
                <c:pt idx="0">
                  <c:v>629.46153846153845</c:v>
                </c:pt>
                <c:pt idx="1">
                  <c:v>628.46153846153845</c:v>
                </c:pt>
                <c:pt idx="2">
                  <c:v>398.30769230769232</c:v>
                </c:pt>
                <c:pt idx="3">
                  <c:v>394.15384615384613</c:v>
                </c:pt>
                <c:pt idx="4">
                  <c:v>400.92307692307691</c:v>
                </c:pt>
                <c:pt idx="5">
                  <c:v>389.53846153846155</c:v>
                </c:pt>
                <c:pt idx="6">
                  <c:v>324.46153846153845</c:v>
                </c:pt>
                <c:pt idx="7">
                  <c:v>314.76923076923077</c:v>
                </c:pt>
                <c:pt idx="8">
                  <c:v>326.53846153846155</c:v>
                </c:pt>
                <c:pt idx="9">
                  <c:v>336.92307692307691</c:v>
                </c:pt>
                <c:pt idx="10">
                  <c:v>656.07692307692309</c:v>
                </c:pt>
                <c:pt idx="11">
                  <c:v>638.25</c:v>
                </c:pt>
              </c:numCache>
            </c:numRef>
          </c:val>
          <c:smooth val="0"/>
          <c:extLst>
            <c:ext xmlns:c16="http://schemas.microsoft.com/office/drawing/2014/chart" uri="{C3380CC4-5D6E-409C-BE32-E72D297353CC}">
              <c16:uniqueId val="{00000005-0ECA-410E-A6D0-83F1B73F79A5}"/>
            </c:ext>
          </c:extLst>
        </c:ser>
        <c:ser>
          <c:idx val="2"/>
          <c:order val="2"/>
          <c:tx>
            <c:strRef>
              <c:f>'Pivot Chart'!$D$35</c:f>
              <c:strCache>
                <c:ptCount val="1"/>
                <c:pt idx="0">
                  <c:v>Average of Sales</c:v>
                </c:pt>
              </c:strCache>
            </c:strRef>
          </c:tx>
          <c:spPr>
            <a:ln w="38100" cap="rnd">
              <a:solidFill>
                <a:schemeClr val="accent3"/>
              </a:solidFill>
              <a:round/>
            </a:ln>
            <a:effectLst/>
          </c:spPr>
          <c:marker>
            <c:symbol val="circle"/>
            <c:size val="8"/>
            <c:spPr>
              <a:solidFill>
                <a:schemeClr val="accent3"/>
              </a:solidFill>
              <a:ln>
                <a:noFill/>
              </a:ln>
              <a:effectLst/>
            </c:spPr>
          </c:marker>
          <c:cat>
            <c:strRef>
              <c:f>'Pivot Chart'!$A$36:$A$48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Chart'!$D$36:$D$48</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6-0ECA-410E-A6D0-83F1B73F79A5}"/>
            </c:ext>
          </c:extLst>
        </c:ser>
        <c:dLbls>
          <c:showLegendKey val="0"/>
          <c:showVal val="0"/>
          <c:showCatName val="0"/>
          <c:showSerName val="0"/>
          <c:showPercent val="0"/>
          <c:showBubbleSize val="0"/>
        </c:dLbls>
        <c:marker val="1"/>
        <c:smooth val="0"/>
        <c:axId val="1108742463"/>
        <c:axId val="1108739551"/>
      </c:lineChart>
      <c:catAx>
        <c:axId val="110874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8739551"/>
        <c:crosses val="autoZero"/>
        <c:auto val="1"/>
        <c:lblAlgn val="ctr"/>
        <c:lblOffset val="100"/>
        <c:noMultiLvlLbl val="0"/>
      </c:catAx>
      <c:valAx>
        <c:axId val="11087395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087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Chart!PivotTable2</c:name>
    <c:fmtId val="0"/>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Chart'!$B$51</c:f>
              <c:strCache>
                <c:ptCount val="1"/>
                <c:pt idx="0">
                  <c:v>Average of Disbursement</c:v>
                </c:pt>
              </c:strCache>
            </c:strRef>
          </c:tx>
          <c:spPr>
            <a:solidFill>
              <a:schemeClr val="accent1"/>
            </a:solidFill>
            <a:ln>
              <a:noFill/>
            </a:ln>
            <a:effectLst/>
          </c:spPr>
          <c:invertIfNegative val="0"/>
          <c:cat>
            <c:strRef>
              <c:f>'Pivot Chart'!$A$52:$A$64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Chart'!$B$52:$B$64</c:f>
              <c:numCache>
                <c:formatCode>General</c:formatCode>
                <c:ptCount val="12"/>
                <c:pt idx="0">
                  <c:v>130799.04692307694</c:v>
                </c:pt>
                <c:pt idx="1">
                  <c:v>131952.77384615384</c:v>
                </c:pt>
                <c:pt idx="2">
                  <c:v>133106.49769230772</c:v>
                </c:pt>
                <c:pt idx="3">
                  <c:v>134240.39076923075</c:v>
                </c:pt>
                <c:pt idx="4">
                  <c:v>135394.11615384615</c:v>
                </c:pt>
                <c:pt idx="5">
                  <c:v>136547.84230769234</c:v>
                </c:pt>
                <c:pt idx="6">
                  <c:v>137701.56692307693</c:v>
                </c:pt>
                <c:pt idx="7">
                  <c:v>138855.29230769229</c:v>
                </c:pt>
                <c:pt idx="8">
                  <c:v>140009.01769230768</c:v>
                </c:pt>
                <c:pt idx="9">
                  <c:v>141162.74307692307</c:v>
                </c:pt>
                <c:pt idx="10">
                  <c:v>142316.46846153846</c:v>
                </c:pt>
                <c:pt idx="11">
                  <c:v>135573.62000000002</c:v>
                </c:pt>
              </c:numCache>
            </c:numRef>
          </c:val>
          <c:extLst>
            <c:ext xmlns:c16="http://schemas.microsoft.com/office/drawing/2014/chart" uri="{C3380CC4-5D6E-409C-BE32-E72D297353CC}">
              <c16:uniqueId val="{00000000-89DD-4438-9139-7A0148D1B1E2}"/>
            </c:ext>
          </c:extLst>
        </c:ser>
        <c:ser>
          <c:idx val="1"/>
          <c:order val="1"/>
          <c:tx>
            <c:strRef>
              <c:f>'Pivot Chart'!$C$51</c:f>
              <c:strCache>
                <c:ptCount val="1"/>
                <c:pt idx="0">
                  <c:v>Average of Production</c:v>
                </c:pt>
              </c:strCache>
            </c:strRef>
          </c:tx>
          <c:spPr>
            <a:solidFill>
              <a:schemeClr val="accent2"/>
            </a:solidFill>
            <a:ln>
              <a:noFill/>
            </a:ln>
            <a:effectLst/>
          </c:spPr>
          <c:invertIfNegative val="0"/>
          <c:cat>
            <c:strRef>
              <c:f>'Pivot Chart'!$A$52:$A$64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Chart'!$C$52:$C$64</c:f>
              <c:numCache>
                <c:formatCode>General</c:formatCode>
                <c:ptCount val="12"/>
                <c:pt idx="0">
                  <c:v>629.46153846153845</c:v>
                </c:pt>
                <c:pt idx="1">
                  <c:v>628.46153846153845</c:v>
                </c:pt>
                <c:pt idx="2">
                  <c:v>398.30769230769232</c:v>
                </c:pt>
                <c:pt idx="3">
                  <c:v>394.15384615384613</c:v>
                </c:pt>
                <c:pt idx="4">
                  <c:v>400.92307692307691</c:v>
                </c:pt>
                <c:pt idx="5">
                  <c:v>389.53846153846155</c:v>
                </c:pt>
                <c:pt idx="6">
                  <c:v>324.46153846153845</c:v>
                </c:pt>
                <c:pt idx="7">
                  <c:v>314.76923076923077</c:v>
                </c:pt>
                <c:pt idx="8">
                  <c:v>326.53846153846155</c:v>
                </c:pt>
                <c:pt idx="9">
                  <c:v>336.92307692307691</c:v>
                </c:pt>
                <c:pt idx="10">
                  <c:v>656.07692307692309</c:v>
                </c:pt>
                <c:pt idx="11">
                  <c:v>638.25</c:v>
                </c:pt>
              </c:numCache>
            </c:numRef>
          </c:val>
          <c:extLst>
            <c:ext xmlns:c16="http://schemas.microsoft.com/office/drawing/2014/chart" uri="{C3380CC4-5D6E-409C-BE32-E72D297353CC}">
              <c16:uniqueId val="{00000001-89DD-4438-9139-7A0148D1B1E2}"/>
            </c:ext>
          </c:extLst>
        </c:ser>
        <c:dLbls>
          <c:showLegendKey val="0"/>
          <c:showVal val="0"/>
          <c:showCatName val="0"/>
          <c:showSerName val="0"/>
          <c:showPercent val="0"/>
          <c:showBubbleSize val="0"/>
        </c:dLbls>
        <c:gapWidth val="269"/>
        <c:overlap val="-27"/>
        <c:axId val="1181825215"/>
        <c:axId val="1181829791"/>
      </c:barChart>
      <c:lineChart>
        <c:grouping val="standard"/>
        <c:varyColors val="0"/>
        <c:ser>
          <c:idx val="2"/>
          <c:order val="2"/>
          <c:tx>
            <c:strRef>
              <c:f>'Pivot Chart'!$D$51</c:f>
              <c:strCache>
                <c:ptCount val="1"/>
                <c:pt idx="0">
                  <c:v>Average of Sales</c:v>
                </c:pt>
              </c:strCache>
            </c:strRef>
          </c:tx>
          <c:spPr>
            <a:ln w="38100" cap="rnd">
              <a:solidFill>
                <a:schemeClr val="accent3"/>
              </a:solidFill>
              <a:round/>
            </a:ln>
            <a:effectLst/>
          </c:spPr>
          <c:marker>
            <c:symbol val="circle"/>
            <c:size val="8"/>
            <c:spPr>
              <a:solidFill>
                <a:schemeClr val="accent3"/>
              </a:solidFill>
              <a:ln>
                <a:noFill/>
              </a:ln>
              <a:effectLst/>
            </c:spPr>
          </c:marker>
          <c:cat>
            <c:strRef>
              <c:f>'Pivot Chart'!$A$52:$A$64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Chart'!$D$52:$D$64</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2-89DD-4438-9139-7A0148D1B1E2}"/>
            </c:ext>
          </c:extLst>
        </c:ser>
        <c:dLbls>
          <c:showLegendKey val="0"/>
          <c:showVal val="0"/>
          <c:showCatName val="0"/>
          <c:showSerName val="0"/>
          <c:showPercent val="0"/>
          <c:showBubbleSize val="0"/>
        </c:dLbls>
        <c:marker val="1"/>
        <c:smooth val="0"/>
        <c:axId val="1181827295"/>
        <c:axId val="1181826463"/>
      </c:lineChart>
      <c:catAx>
        <c:axId val="1181825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81829791"/>
        <c:crosses val="autoZero"/>
        <c:auto val="1"/>
        <c:lblAlgn val="ctr"/>
        <c:lblOffset val="100"/>
        <c:noMultiLvlLbl val="0"/>
      </c:catAx>
      <c:valAx>
        <c:axId val="11818297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81825215"/>
        <c:crosses val="autoZero"/>
        <c:crossBetween val="between"/>
      </c:valAx>
      <c:valAx>
        <c:axId val="118182646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81827295"/>
        <c:crosses val="max"/>
        <c:crossBetween val="between"/>
      </c:valAx>
      <c:catAx>
        <c:axId val="1181827295"/>
        <c:scaling>
          <c:orientation val="minMax"/>
        </c:scaling>
        <c:delete val="1"/>
        <c:axPos val="b"/>
        <c:numFmt formatCode="General" sourceLinked="1"/>
        <c:majorTickMark val="out"/>
        <c:minorTickMark val="none"/>
        <c:tickLblPos val="nextTo"/>
        <c:crossAx val="118182646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Chart'!$C$67</c:f>
              <c:strCache>
                <c:ptCount val="1"/>
                <c:pt idx="0">
                  <c:v>Average of Demand</c:v>
                </c:pt>
              </c:strCache>
            </c:strRef>
          </c:tx>
          <c:spPr>
            <a:ln w="28575" cap="rnd">
              <a:solidFill>
                <a:schemeClr val="accent2"/>
              </a:solidFill>
              <a:round/>
            </a:ln>
            <a:effectLst/>
          </c:spPr>
          <c:marker>
            <c:symbol val="none"/>
          </c:marker>
          <c:cat>
            <c:strRef>
              <c:f>'Pivot Chart'!$A$68:$A$80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Chart'!$C$68:$C$80</c:f>
              <c:numCache>
                <c:formatCode>General</c:formatCode>
                <c:ptCount val="12"/>
                <c:pt idx="0">
                  <c:v>626.30769230769226</c:v>
                </c:pt>
                <c:pt idx="1">
                  <c:v>606.5846153846154</c:v>
                </c:pt>
                <c:pt idx="2">
                  <c:v>410.73846153846159</c:v>
                </c:pt>
                <c:pt idx="3">
                  <c:v>390.66923076923075</c:v>
                </c:pt>
                <c:pt idx="4">
                  <c:v>389.06153846153848</c:v>
                </c:pt>
                <c:pt idx="5">
                  <c:v>390.53076923076918</c:v>
                </c:pt>
                <c:pt idx="6">
                  <c:v>330.92307692307691</c:v>
                </c:pt>
                <c:pt idx="7">
                  <c:v>313.61538461538464</c:v>
                </c:pt>
                <c:pt idx="8">
                  <c:v>337.15384615384613</c:v>
                </c:pt>
                <c:pt idx="9">
                  <c:v>350.61538461538464</c:v>
                </c:pt>
                <c:pt idx="10">
                  <c:v>654.76923076923072</c:v>
                </c:pt>
                <c:pt idx="11">
                  <c:v>629.5</c:v>
                </c:pt>
              </c:numCache>
            </c:numRef>
          </c:val>
          <c:smooth val="0"/>
          <c:extLst>
            <c:ext xmlns:c16="http://schemas.microsoft.com/office/drawing/2014/chart" uri="{C3380CC4-5D6E-409C-BE32-E72D297353CC}">
              <c16:uniqueId val="{00000001-0FAD-4B8D-A823-C8F6027346FC}"/>
            </c:ext>
          </c:extLst>
        </c:ser>
        <c:ser>
          <c:idx val="2"/>
          <c:order val="2"/>
          <c:tx>
            <c:strRef>
              <c:f>'Pivot Chart'!$D$67</c:f>
              <c:strCache>
                <c:ptCount val="1"/>
                <c:pt idx="0">
                  <c:v>Average of Sales</c:v>
                </c:pt>
              </c:strCache>
            </c:strRef>
          </c:tx>
          <c:spPr>
            <a:ln w="28575" cap="rnd">
              <a:solidFill>
                <a:schemeClr val="accent3"/>
              </a:solidFill>
              <a:round/>
            </a:ln>
            <a:effectLst/>
          </c:spPr>
          <c:marker>
            <c:symbol val="none"/>
          </c:marker>
          <c:cat>
            <c:strRef>
              <c:f>'Pivot Chart'!$A$68:$A$80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Chart'!$D$68:$D$80</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2-0FAD-4B8D-A823-C8F6027346FC}"/>
            </c:ext>
          </c:extLst>
        </c:ser>
        <c:dLbls>
          <c:showLegendKey val="0"/>
          <c:showVal val="0"/>
          <c:showCatName val="0"/>
          <c:showSerName val="0"/>
          <c:showPercent val="0"/>
          <c:showBubbleSize val="0"/>
        </c:dLbls>
        <c:marker val="1"/>
        <c:smooth val="0"/>
        <c:axId val="1193293375"/>
        <c:axId val="1193292959"/>
      </c:lineChart>
      <c:lineChart>
        <c:grouping val="standard"/>
        <c:varyColors val="0"/>
        <c:ser>
          <c:idx val="0"/>
          <c:order val="0"/>
          <c:tx>
            <c:strRef>
              <c:f>'Pivot Chart'!$B$67</c:f>
              <c:strCache>
                <c:ptCount val="1"/>
                <c:pt idx="0">
                  <c:v>Average of Interest Rate</c:v>
                </c:pt>
              </c:strCache>
            </c:strRef>
          </c:tx>
          <c:spPr>
            <a:ln w="28575" cap="rnd">
              <a:solidFill>
                <a:schemeClr val="accent1"/>
              </a:solidFill>
              <a:round/>
            </a:ln>
            <a:effectLst/>
          </c:spPr>
          <c:marker>
            <c:symbol val="none"/>
          </c:marker>
          <c:cat>
            <c:strRef>
              <c:f>'Pivot Chart'!$A$68:$A$80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Chart'!$B$68:$B$80</c:f>
              <c:numCache>
                <c:formatCode>0%</c:formatCode>
                <c:ptCount val="12"/>
                <c:pt idx="0">
                  <c:v>9.5246153846153838</c:v>
                </c:pt>
                <c:pt idx="1">
                  <c:v>9.5146153846153858</c:v>
                </c:pt>
                <c:pt idx="2">
                  <c:v>9.5030769230769252</c:v>
                </c:pt>
                <c:pt idx="3">
                  <c:v>9.4923076923076941</c:v>
                </c:pt>
                <c:pt idx="4">
                  <c:v>9.4823076923076925</c:v>
                </c:pt>
                <c:pt idx="5">
                  <c:v>9.4715384615384615</c:v>
                </c:pt>
                <c:pt idx="6">
                  <c:v>9.4615384615384617</c:v>
                </c:pt>
                <c:pt idx="7">
                  <c:v>9.4507692307692306</c:v>
                </c:pt>
                <c:pt idx="8">
                  <c:v>9.43923076923077</c:v>
                </c:pt>
                <c:pt idx="9">
                  <c:v>9.4284615384615389</c:v>
                </c:pt>
                <c:pt idx="10">
                  <c:v>9.426153846153845</c:v>
                </c:pt>
                <c:pt idx="11">
                  <c:v>9.4783333333333317</c:v>
                </c:pt>
              </c:numCache>
            </c:numRef>
          </c:val>
          <c:smooth val="0"/>
          <c:extLst>
            <c:ext xmlns:c16="http://schemas.microsoft.com/office/drawing/2014/chart" uri="{C3380CC4-5D6E-409C-BE32-E72D297353CC}">
              <c16:uniqueId val="{00000000-0FAD-4B8D-A823-C8F6027346FC}"/>
            </c:ext>
          </c:extLst>
        </c:ser>
        <c:dLbls>
          <c:showLegendKey val="0"/>
          <c:showVal val="0"/>
          <c:showCatName val="0"/>
          <c:showSerName val="0"/>
          <c:showPercent val="0"/>
          <c:showBubbleSize val="0"/>
        </c:dLbls>
        <c:marker val="1"/>
        <c:smooth val="0"/>
        <c:axId val="1193288799"/>
        <c:axId val="1193292127"/>
      </c:lineChart>
      <c:catAx>
        <c:axId val="119329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92959"/>
        <c:crosses val="autoZero"/>
        <c:auto val="1"/>
        <c:lblAlgn val="ctr"/>
        <c:lblOffset val="100"/>
        <c:noMultiLvlLbl val="0"/>
      </c:catAx>
      <c:valAx>
        <c:axId val="119329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93375"/>
        <c:crosses val="autoZero"/>
        <c:crossBetween val="between"/>
      </c:valAx>
      <c:valAx>
        <c:axId val="11932921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88799"/>
        <c:crosses val="max"/>
        <c:crossBetween val="between"/>
      </c:valAx>
      <c:catAx>
        <c:axId val="1193288799"/>
        <c:scaling>
          <c:orientation val="minMax"/>
        </c:scaling>
        <c:delete val="1"/>
        <c:axPos val="b"/>
        <c:numFmt formatCode="General" sourceLinked="1"/>
        <c:majorTickMark val="out"/>
        <c:minorTickMark val="none"/>
        <c:tickLblPos val="nextTo"/>
        <c:crossAx val="1193292127"/>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Cement</a:t>
            </a:r>
            <a:r>
              <a:rPr lang="en-US" baseline="0"/>
              <a:t> Production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Chart'!$B$3</c:f>
              <c:strCache>
                <c:ptCount val="1"/>
                <c:pt idx="0">
                  <c:v>Total</c:v>
                </c:pt>
              </c:strCache>
            </c:strRef>
          </c:tx>
          <c:spPr>
            <a:ln w="28575" cap="rnd">
              <a:solidFill>
                <a:schemeClr val="accent1"/>
              </a:solidFill>
              <a:round/>
            </a:ln>
            <a:effectLst/>
          </c:spPr>
          <c:marker>
            <c:symbol val="none"/>
          </c:marker>
          <c:cat>
            <c:strRef>
              <c:f>'Pivot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Chart'!$B$4:$B$16</c:f>
              <c:numCache>
                <c:formatCode>General</c:formatCode>
                <c:ptCount val="12"/>
                <c:pt idx="0">
                  <c:v>629.46153846153845</c:v>
                </c:pt>
                <c:pt idx="1">
                  <c:v>628.46153846153845</c:v>
                </c:pt>
                <c:pt idx="2">
                  <c:v>398.30769230769232</c:v>
                </c:pt>
                <c:pt idx="3">
                  <c:v>394.15384615384613</c:v>
                </c:pt>
                <c:pt idx="4">
                  <c:v>400.92307692307691</c:v>
                </c:pt>
                <c:pt idx="5">
                  <c:v>389.53846153846155</c:v>
                </c:pt>
                <c:pt idx="6">
                  <c:v>324.46153846153845</c:v>
                </c:pt>
                <c:pt idx="7">
                  <c:v>314.76923076923077</c:v>
                </c:pt>
                <c:pt idx="8">
                  <c:v>326.53846153846155</c:v>
                </c:pt>
                <c:pt idx="9">
                  <c:v>336.92307692307691</c:v>
                </c:pt>
                <c:pt idx="10">
                  <c:v>656.07692307692309</c:v>
                </c:pt>
                <c:pt idx="11">
                  <c:v>638.25</c:v>
                </c:pt>
              </c:numCache>
            </c:numRef>
          </c:val>
          <c:smooth val="0"/>
          <c:extLst>
            <c:ext xmlns:c16="http://schemas.microsoft.com/office/drawing/2014/chart" uri="{C3380CC4-5D6E-409C-BE32-E72D297353CC}">
              <c16:uniqueId val="{00000000-ECB3-46F5-B5D7-5CD70B3605CA}"/>
            </c:ext>
          </c:extLst>
        </c:ser>
        <c:dLbls>
          <c:showLegendKey val="0"/>
          <c:showVal val="0"/>
          <c:showCatName val="0"/>
          <c:showSerName val="0"/>
          <c:showPercent val="0"/>
          <c:showBubbleSize val="0"/>
        </c:dLbls>
        <c:smooth val="0"/>
        <c:axId val="1010837231"/>
        <c:axId val="1010836815"/>
      </c:lineChart>
      <c:catAx>
        <c:axId val="101083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836815"/>
        <c:crosses val="autoZero"/>
        <c:auto val="1"/>
        <c:lblAlgn val="ctr"/>
        <c:lblOffset val="100"/>
        <c:noMultiLvlLbl val="0"/>
      </c:catAx>
      <c:valAx>
        <c:axId val="101083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837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Cement Sales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Chart'!$B$18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Chart'!$B$19:$B$31</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0-21A2-4592-BECB-E2AFD81C274F}"/>
            </c:ext>
          </c:extLst>
        </c:ser>
        <c:dLbls>
          <c:showLegendKey val="0"/>
          <c:showVal val="0"/>
          <c:showCatName val="0"/>
          <c:showSerName val="0"/>
          <c:showPercent val="0"/>
          <c:showBubbleSize val="0"/>
        </c:dLbls>
        <c:marker val="1"/>
        <c:smooth val="0"/>
        <c:axId val="1721320719"/>
        <c:axId val="1721321135"/>
      </c:lineChart>
      <c:catAx>
        <c:axId val="17213207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321135"/>
        <c:crosses val="autoZero"/>
        <c:auto val="1"/>
        <c:lblAlgn val="ctr"/>
        <c:lblOffset val="100"/>
        <c:noMultiLvlLbl val="0"/>
      </c:catAx>
      <c:valAx>
        <c:axId val="1721321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1320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Chart!PivotTable2</c:name>
    <c:fmtId val="2"/>
  </c:pivotSource>
  <c:chart>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Chart'!$B$51</c:f>
              <c:strCache>
                <c:ptCount val="1"/>
                <c:pt idx="0">
                  <c:v>Average of Disbursement</c:v>
                </c:pt>
              </c:strCache>
            </c:strRef>
          </c:tx>
          <c:spPr>
            <a:solidFill>
              <a:schemeClr val="accent1"/>
            </a:solidFill>
            <a:ln>
              <a:noFill/>
            </a:ln>
            <a:effectLst/>
          </c:spPr>
          <c:invertIfNegative val="0"/>
          <c:cat>
            <c:strRef>
              <c:f>'Pivot Chart'!$A$52:$A$64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Chart'!$B$52:$B$64</c:f>
              <c:numCache>
                <c:formatCode>General</c:formatCode>
                <c:ptCount val="12"/>
                <c:pt idx="0">
                  <c:v>130799.04692307694</c:v>
                </c:pt>
                <c:pt idx="1">
                  <c:v>131952.77384615384</c:v>
                </c:pt>
                <c:pt idx="2">
                  <c:v>133106.49769230772</c:v>
                </c:pt>
                <c:pt idx="3">
                  <c:v>134240.39076923075</c:v>
                </c:pt>
                <c:pt idx="4">
                  <c:v>135394.11615384615</c:v>
                </c:pt>
                <c:pt idx="5">
                  <c:v>136547.84230769234</c:v>
                </c:pt>
                <c:pt idx="6">
                  <c:v>137701.56692307693</c:v>
                </c:pt>
                <c:pt idx="7">
                  <c:v>138855.29230769229</c:v>
                </c:pt>
                <c:pt idx="8">
                  <c:v>140009.01769230768</c:v>
                </c:pt>
                <c:pt idx="9">
                  <c:v>141162.74307692307</c:v>
                </c:pt>
                <c:pt idx="10">
                  <c:v>142316.46846153846</c:v>
                </c:pt>
                <c:pt idx="11">
                  <c:v>135573.62000000002</c:v>
                </c:pt>
              </c:numCache>
            </c:numRef>
          </c:val>
          <c:extLst>
            <c:ext xmlns:c16="http://schemas.microsoft.com/office/drawing/2014/chart" uri="{C3380CC4-5D6E-409C-BE32-E72D297353CC}">
              <c16:uniqueId val="{00000000-8CBC-4FC3-BFE3-1A6CCF51B524}"/>
            </c:ext>
          </c:extLst>
        </c:ser>
        <c:ser>
          <c:idx val="1"/>
          <c:order val="1"/>
          <c:tx>
            <c:strRef>
              <c:f>'Pivot Chart'!$C$51</c:f>
              <c:strCache>
                <c:ptCount val="1"/>
                <c:pt idx="0">
                  <c:v>Average of Production</c:v>
                </c:pt>
              </c:strCache>
            </c:strRef>
          </c:tx>
          <c:spPr>
            <a:solidFill>
              <a:schemeClr val="accent2"/>
            </a:solidFill>
            <a:ln>
              <a:noFill/>
            </a:ln>
            <a:effectLst/>
          </c:spPr>
          <c:invertIfNegative val="0"/>
          <c:cat>
            <c:strRef>
              <c:f>'Pivot Chart'!$A$52:$A$64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Chart'!$C$52:$C$64</c:f>
              <c:numCache>
                <c:formatCode>General</c:formatCode>
                <c:ptCount val="12"/>
                <c:pt idx="0">
                  <c:v>629.46153846153845</c:v>
                </c:pt>
                <c:pt idx="1">
                  <c:v>628.46153846153845</c:v>
                </c:pt>
                <c:pt idx="2">
                  <c:v>398.30769230769232</c:v>
                </c:pt>
                <c:pt idx="3">
                  <c:v>394.15384615384613</c:v>
                </c:pt>
                <c:pt idx="4">
                  <c:v>400.92307692307691</c:v>
                </c:pt>
                <c:pt idx="5">
                  <c:v>389.53846153846155</c:v>
                </c:pt>
                <c:pt idx="6">
                  <c:v>324.46153846153845</c:v>
                </c:pt>
                <c:pt idx="7">
                  <c:v>314.76923076923077</c:v>
                </c:pt>
                <c:pt idx="8">
                  <c:v>326.53846153846155</c:v>
                </c:pt>
                <c:pt idx="9">
                  <c:v>336.92307692307691</c:v>
                </c:pt>
                <c:pt idx="10">
                  <c:v>656.07692307692309</c:v>
                </c:pt>
                <c:pt idx="11">
                  <c:v>638.25</c:v>
                </c:pt>
              </c:numCache>
            </c:numRef>
          </c:val>
          <c:extLst>
            <c:ext xmlns:c16="http://schemas.microsoft.com/office/drawing/2014/chart" uri="{C3380CC4-5D6E-409C-BE32-E72D297353CC}">
              <c16:uniqueId val="{00000001-8CBC-4FC3-BFE3-1A6CCF51B524}"/>
            </c:ext>
          </c:extLst>
        </c:ser>
        <c:dLbls>
          <c:showLegendKey val="0"/>
          <c:showVal val="0"/>
          <c:showCatName val="0"/>
          <c:showSerName val="0"/>
          <c:showPercent val="0"/>
          <c:showBubbleSize val="0"/>
        </c:dLbls>
        <c:gapWidth val="269"/>
        <c:overlap val="-27"/>
        <c:axId val="1181825215"/>
        <c:axId val="1181829791"/>
      </c:barChart>
      <c:lineChart>
        <c:grouping val="standard"/>
        <c:varyColors val="0"/>
        <c:ser>
          <c:idx val="2"/>
          <c:order val="2"/>
          <c:tx>
            <c:strRef>
              <c:f>'Pivot Chart'!$D$51</c:f>
              <c:strCache>
                <c:ptCount val="1"/>
                <c:pt idx="0">
                  <c:v>Average of Sales</c:v>
                </c:pt>
              </c:strCache>
            </c:strRef>
          </c:tx>
          <c:spPr>
            <a:ln w="38100" cap="rnd">
              <a:solidFill>
                <a:schemeClr val="accent3"/>
              </a:solidFill>
              <a:round/>
            </a:ln>
            <a:effectLst/>
          </c:spPr>
          <c:marker>
            <c:symbol val="circle"/>
            <c:size val="8"/>
            <c:spPr>
              <a:solidFill>
                <a:schemeClr val="accent3"/>
              </a:solidFill>
              <a:ln>
                <a:noFill/>
              </a:ln>
              <a:effectLst/>
            </c:spPr>
          </c:marker>
          <c:cat>
            <c:strRef>
              <c:f>'Pivot Chart'!$A$52:$A$64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Chart'!$D$52:$D$64</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2-8CBC-4FC3-BFE3-1A6CCF51B524}"/>
            </c:ext>
          </c:extLst>
        </c:ser>
        <c:dLbls>
          <c:showLegendKey val="0"/>
          <c:showVal val="0"/>
          <c:showCatName val="0"/>
          <c:showSerName val="0"/>
          <c:showPercent val="0"/>
          <c:showBubbleSize val="0"/>
        </c:dLbls>
        <c:marker val="1"/>
        <c:smooth val="0"/>
        <c:axId val="1181827295"/>
        <c:axId val="1181826463"/>
      </c:lineChart>
      <c:catAx>
        <c:axId val="1181825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81829791"/>
        <c:crosses val="autoZero"/>
        <c:auto val="1"/>
        <c:lblAlgn val="ctr"/>
        <c:lblOffset val="100"/>
        <c:noMultiLvlLbl val="0"/>
      </c:catAx>
      <c:valAx>
        <c:axId val="118182979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81825215"/>
        <c:crosses val="autoZero"/>
        <c:crossBetween val="between"/>
      </c:valAx>
      <c:valAx>
        <c:axId val="1181826463"/>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181827295"/>
        <c:crosses val="max"/>
        <c:crossBetween val="between"/>
      </c:valAx>
      <c:catAx>
        <c:axId val="1181827295"/>
        <c:scaling>
          <c:orientation val="minMax"/>
        </c:scaling>
        <c:delete val="1"/>
        <c:axPos val="b"/>
        <c:numFmt formatCode="General" sourceLinked="1"/>
        <c:majorTickMark val="out"/>
        <c:minorTickMark val="none"/>
        <c:tickLblPos val="nextTo"/>
        <c:crossAx val="1181826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Chart!PivotTable3</c:name>
    <c:fmtId val="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 Chart'!$C$67</c:f>
              <c:strCache>
                <c:ptCount val="1"/>
                <c:pt idx="0">
                  <c:v>Average of Demand</c:v>
                </c:pt>
              </c:strCache>
            </c:strRef>
          </c:tx>
          <c:spPr>
            <a:ln w="28575" cap="rnd">
              <a:solidFill>
                <a:schemeClr val="accent2"/>
              </a:solidFill>
              <a:round/>
            </a:ln>
            <a:effectLst/>
          </c:spPr>
          <c:marker>
            <c:symbol val="none"/>
          </c:marker>
          <c:cat>
            <c:strRef>
              <c:f>'Pivot Chart'!$A$68:$A$80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Chart'!$C$68:$C$80</c:f>
              <c:numCache>
                <c:formatCode>General</c:formatCode>
                <c:ptCount val="12"/>
                <c:pt idx="0">
                  <c:v>626.30769230769226</c:v>
                </c:pt>
                <c:pt idx="1">
                  <c:v>606.5846153846154</c:v>
                </c:pt>
                <c:pt idx="2">
                  <c:v>410.73846153846159</c:v>
                </c:pt>
                <c:pt idx="3">
                  <c:v>390.66923076923075</c:v>
                </c:pt>
                <c:pt idx="4">
                  <c:v>389.06153846153848</c:v>
                </c:pt>
                <c:pt idx="5">
                  <c:v>390.53076923076918</c:v>
                </c:pt>
                <c:pt idx="6">
                  <c:v>330.92307692307691</c:v>
                </c:pt>
                <c:pt idx="7">
                  <c:v>313.61538461538464</c:v>
                </c:pt>
                <c:pt idx="8">
                  <c:v>337.15384615384613</c:v>
                </c:pt>
                <c:pt idx="9">
                  <c:v>350.61538461538464</c:v>
                </c:pt>
                <c:pt idx="10">
                  <c:v>654.76923076923072</c:v>
                </c:pt>
                <c:pt idx="11">
                  <c:v>629.5</c:v>
                </c:pt>
              </c:numCache>
            </c:numRef>
          </c:val>
          <c:smooth val="0"/>
          <c:extLst>
            <c:ext xmlns:c16="http://schemas.microsoft.com/office/drawing/2014/chart" uri="{C3380CC4-5D6E-409C-BE32-E72D297353CC}">
              <c16:uniqueId val="{00000000-4221-42A9-9186-2DA0C62130E5}"/>
            </c:ext>
          </c:extLst>
        </c:ser>
        <c:ser>
          <c:idx val="2"/>
          <c:order val="2"/>
          <c:tx>
            <c:strRef>
              <c:f>'Pivot Chart'!$D$67</c:f>
              <c:strCache>
                <c:ptCount val="1"/>
                <c:pt idx="0">
                  <c:v>Average of Sales</c:v>
                </c:pt>
              </c:strCache>
            </c:strRef>
          </c:tx>
          <c:spPr>
            <a:ln w="28575" cap="rnd">
              <a:solidFill>
                <a:schemeClr val="accent3"/>
              </a:solidFill>
              <a:round/>
            </a:ln>
            <a:effectLst/>
          </c:spPr>
          <c:marker>
            <c:symbol val="none"/>
          </c:marker>
          <c:cat>
            <c:strRef>
              <c:f>'Pivot Chart'!$A$68:$A$80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Chart'!$D$68:$D$80</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1-4221-42A9-9186-2DA0C62130E5}"/>
            </c:ext>
          </c:extLst>
        </c:ser>
        <c:dLbls>
          <c:showLegendKey val="0"/>
          <c:showVal val="0"/>
          <c:showCatName val="0"/>
          <c:showSerName val="0"/>
          <c:showPercent val="0"/>
          <c:showBubbleSize val="0"/>
        </c:dLbls>
        <c:marker val="1"/>
        <c:smooth val="0"/>
        <c:axId val="1193293375"/>
        <c:axId val="1193292959"/>
      </c:lineChart>
      <c:lineChart>
        <c:grouping val="standard"/>
        <c:varyColors val="0"/>
        <c:ser>
          <c:idx val="0"/>
          <c:order val="0"/>
          <c:tx>
            <c:strRef>
              <c:f>'Pivot Chart'!$B$67</c:f>
              <c:strCache>
                <c:ptCount val="1"/>
                <c:pt idx="0">
                  <c:v>Average of Interest Rate</c:v>
                </c:pt>
              </c:strCache>
            </c:strRef>
          </c:tx>
          <c:spPr>
            <a:ln w="28575" cap="rnd">
              <a:solidFill>
                <a:schemeClr val="accent1"/>
              </a:solidFill>
              <a:round/>
            </a:ln>
            <a:effectLst/>
          </c:spPr>
          <c:marker>
            <c:symbol val="none"/>
          </c:marker>
          <c:cat>
            <c:strRef>
              <c:f>'Pivot Chart'!$A$68:$A$80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Chart'!$B$68:$B$80</c:f>
              <c:numCache>
                <c:formatCode>0%</c:formatCode>
                <c:ptCount val="12"/>
                <c:pt idx="0">
                  <c:v>9.5246153846153838</c:v>
                </c:pt>
                <c:pt idx="1">
                  <c:v>9.5146153846153858</c:v>
                </c:pt>
                <c:pt idx="2">
                  <c:v>9.5030769230769252</c:v>
                </c:pt>
                <c:pt idx="3">
                  <c:v>9.4923076923076941</c:v>
                </c:pt>
                <c:pt idx="4">
                  <c:v>9.4823076923076925</c:v>
                </c:pt>
                <c:pt idx="5">
                  <c:v>9.4715384615384615</c:v>
                </c:pt>
                <c:pt idx="6">
                  <c:v>9.4615384615384617</c:v>
                </c:pt>
                <c:pt idx="7">
                  <c:v>9.4507692307692306</c:v>
                </c:pt>
                <c:pt idx="8">
                  <c:v>9.43923076923077</c:v>
                </c:pt>
                <c:pt idx="9">
                  <c:v>9.4284615384615389</c:v>
                </c:pt>
                <c:pt idx="10">
                  <c:v>9.426153846153845</c:v>
                </c:pt>
                <c:pt idx="11">
                  <c:v>9.4783333333333317</c:v>
                </c:pt>
              </c:numCache>
            </c:numRef>
          </c:val>
          <c:smooth val="0"/>
          <c:extLst>
            <c:ext xmlns:c16="http://schemas.microsoft.com/office/drawing/2014/chart" uri="{C3380CC4-5D6E-409C-BE32-E72D297353CC}">
              <c16:uniqueId val="{00000002-4221-42A9-9186-2DA0C62130E5}"/>
            </c:ext>
          </c:extLst>
        </c:ser>
        <c:dLbls>
          <c:showLegendKey val="0"/>
          <c:showVal val="0"/>
          <c:showCatName val="0"/>
          <c:showSerName val="0"/>
          <c:showPercent val="0"/>
          <c:showBubbleSize val="0"/>
        </c:dLbls>
        <c:marker val="1"/>
        <c:smooth val="0"/>
        <c:axId val="1193288799"/>
        <c:axId val="1193292127"/>
      </c:lineChart>
      <c:catAx>
        <c:axId val="119329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92959"/>
        <c:crosses val="autoZero"/>
        <c:auto val="1"/>
        <c:lblAlgn val="ctr"/>
        <c:lblOffset val="100"/>
        <c:noMultiLvlLbl val="0"/>
      </c:catAx>
      <c:valAx>
        <c:axId val="1193292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93375"/>
        <c:crosses val="autoZero"/>
        <c:crossBetween val="between"/>
      </c:valAx>
      <c:valAx>
        <c:axId val="11932921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88799"/>
        <c:crosses val="max"/>
        <c:crossBetween val="between"/>
      </c:valAx>
      <c:catAx>
        <c:axId val="1193288799"/>
        <c:scaling>
          <c:orientation val="minMax"/>
        </c:scaling>
        <c:delete val="1"/>
        <c:axPos val="b"/>
        <c:numFmt formatCode="General" sourceLinked="1"/>
        <c:majorTickMark val="out"/>
        <c:minorTickMark val="none"/>
        <c:tickLblPos val="nextTo"/>
        <c:crossAx val="11932921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Chart!PivotTable1</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4712744240303297"/>
          <c:w val="0.52070953630796146"/>
          <c:h val="0.61882217847769028"/>
        </c:manualLayout>
      </c:layout>
      <c:lineChart>
        <c:grouping val="standard"/>
        <c:varyColors val="0"/>
        <c:ser>
          <c:idx val="0"/>
          <c:order val="0"/>
          <c:tx>
            <c:strRef>
              <c:f>'Pivot Chart'!$B$35</c:f>
              <c:strCache>
                <c:ptCount val="1"/>
                <c:pt idx="0">
                  <c:v>Average of Gdp</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Chart'!$A$36:$A$48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Chart'!$B$36:$B$48</c:f>
              <c:numCache>
                <c:formatCode>General</c:formatCode>
                <c:ptCount val="12"/>
                <c:pt idx="0">
                  <c:v>242552.7506153846</c:v>
                </c:pt>
                <c:pt idx="1">
                  <c:v>233041.22476923079</c:v>
                </c:pt>
                <c:pt idx="2">
                  <c:v>223529.69123076927</c:v>
                </c:pt>
                <c:pt idx="3">
                  <c:v>214018.13976923077</c:v>
                </c:pt>
                <c:pt idx="4">
                  <c:v>214823.06284615383</c:v>
                </c:pt>
                <c:pt idx="5">
                  <c:v>215627.98592307692</c:v>
                </c:pt>
                <c:pt idx="6">
                  <c:v>216432.90899999999</c:v>
                </c:pt>
                <c:pt idx="7">
                  <c:v>220842.90823076924</c:v>
                </c:pt>
                <c:pt idx="8">
                  <c:v>225252.90746153847</c:v>
                </c:pt>
                <c:pt idx="9">
                  <c:v>229662.90669230773</c:v>
                </c:pt>
                <c:pt idx="10">
                  <c:v>235733.39338461537</c:v>
                </c:pt>
                <c:pt idx="11">
                  <c:v>240893.25841666662</c:v>
                </c:pt>
              </c:numCache>
            </c:numRef>
          </c:val>
          <c:smooth val="0"/>
          <c:extLst>
            <c:ext xmlns:c16="http://schemas.microsoft.com/office/drawing/2014/chart" uri="{C3380CC4-5D6E-409C-BE32-E72D297353CC}">
              <c16:uniqueId val="{00000000-80E6-4DA9-A8DA-969621A7883C}"/>
            </c:ext>
          </c:extLst>
        </c:ser>
        <c:ser>
          <c:idx val="1"/>
          <c:order val="1"/>
          <c:tx>
            <c:strRef>
              <c:f>'Pivot Chart'!$C$35</c:f>
              <c:strCache>
                <c:ptCount val="1"/>
                <c:pt idx="0">
                  <c:v>Average of Production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Chart'!$A$36:$A$48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Chart'!$C$36:$C$48</c:f>
              <c:numCache>
                <c:formatCode>General</c:formatCode>
                <c:ptCount val="12"/>
                <c:pt idx="0">
                  <c:v>629.46153846153845</c:v>
                </c:pt>
                <c:pt idx="1">
                  <c:v>628.46153846153845</c:v>
                </c:pt>
                <c:pt idx="2">
                  <c:v>398.30769230769232</c:v>
                </c:pt>
                <c:pt idx="3">
                  <c:v>394.15384615384613</c:v>
                </c:pt>
                <c:pt idx="4">
                  <c:v>400.92307692307691</c:v>
                </c:pt>
                <c:pt idx="5">
                  <c:v>389.53846153846155</c:v>
                </c:pt>
                <c:pt idx="6">
                  <c:v>324.46153846153845</c:v>
                </c:pt>
                <c:pt idx="7">
                  <c:v>314.76923076923077</c:v>
                </c:pt>
                <c:pt idx="8">
                  <c:v>326.53846153846155</c:v>
                </c:pt>
                <c:pt idx="9">
                  <c:v>336.92307692307691</c:v>
                </c:pt>
                <c:pt idx="10">
                  <c:v>656.07692307692309</c:v>
                </c:pt>
                <c:pt idx="11">
                  <c:v>638.25</c:v>
                </c:pt>
              </c:numCache>
            </c:numRef>
          </c:val>
          <c:smooth val="0"/>
          <c:extLst>
            <c:ext xmlns:c16="http://schemas.microsoft.com/office/drawing/2014/chart" uri="{C3380CC4-5D6E-409C-BE32-E72D297353CC}">
              <c16:uniqueId val="{00000001-80E6-4DA9-A8DA-969621A7883C}"/>
            </c:ext>
          </c:extLst>
        </c:ser>
        <c:ser>
          <c:idx val="2"/>
          <c:order val="2"/>
          <c:tx>
            <c:strRef>
              <c:f>'Pivot Chart'!$D$35</c:f>
              <c:strCache>
                <c:ptCount val="1"/>
                <c:pt idx="0">
                  <c:v>Average of Sales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Chart'!$A$36:$A$48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Chart'!$D$36:$D$48</c:f>
              <c:numCache>
                <c:formatCode>General</c:formatCode>
                <c:ptCount val="12"/>
                <c:pt idx="0">
                  <c:v>604.07692307692309</c:v>
                </c:pt>
                <c:pt idx="1">
                  <c:v>608.76923076923072</c:v>
                </c:pt>
                <c:pt idx="2">
                  <c:v>399.69230769230768</c:v>
                </c:pt>
                <c:pt idx="3">
                  <c:v>369.92307692307691</c:v>
                </c:pt>
                <c:pt idx="4">
                  <c:v>367.61538461538464</c:v>
                </c:pt>
                <c:pt idx="5">
                  <c:v>370.07692307692309</c:v>
                </c:pt>
                <c:pt idx="6">
                  <c:v>309.15384615384613</c:v>
                </c:pt>
                <c:pt idx="7">
                  <c:v>302.30769230769232</c:v>
                </c:pt>
                <c:pt idx="8">
                  <c:v>323.53846153846155</c:v>
                </c:pt>
                <c:pt idx="9">
                  <c:v>326.76923076923077</c:v>
                </c:pt>
                <c:pt idx="10">
                  <c:v>620.92307692307691</c:v>
                </c:pt>
                <c:pt idx="11">
                  <c:v>602.58333333333337</c:v>
                </c:pt>
              </c:numCache>
            </c:numRef>
          </c:val>
          <c:smooth val="0"/>
          <c:extLst>
            <c:ext xmlns:c16="http://schemas.microsoft.com/office/drawing/2014/chart" uri="{C3380CC4-5D6E-409C-BE32-E72D297353CC}">
              <c16:uniqueId val="{00000002-80E6-4DA9-A8DA-969621A7883C}"/>
            </c:ext>
          </c:extLst>
        </c:ser>
        <c:dLbls>
          <c:showLegendKey val="0"/>
          <c:showVal val="0"/>
          <c:showCatName val="0"/>
          <c:showSerName val="0"/>
          <c:showPercent val="0"/>
          <c:showBubbleSize val="0"/>
        </c:dLbls>
        <c:marker val="1"/>
        <c:smooth val="0"/>
        <c:axId val="1108742463"/>
        <c:axId val="1108739551"/>
      </c:lineChart>
      <c:catAx>
        <c:axId val="11087424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8739551"/>
        <c:crosses val="autoZero"/>
        <c:auto val="1"/>
        <c:lblAlgn val="ctr"/>
        <c:lblOffset val="100"/>
        <c:noMultiLvlLbl val="0"/>
      </c:catAx>
      <c:valAx>
        <c:axId val="1108739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87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7.xml"/><Relationship Id="rId7" Type="http://schemas.openxmlformats.org/officeDocument/2006/relationships/image" Target="../media/image2.png"/><Relationship Id="rId2" Type="http://schemas.openxmlformats.org/officeDocument/2006/relationships/chart" Target="../charts/chart6.xml"/><Relationship Id="rId1" Type="http://schemas.openxmlformats.org/officeDocument/2006/relationships/image" Target="../media/image1.jpe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591776</xdr:colOff>
      <xdr:row>1</xdr:row>
      <xdr:rowOff>147554</xdr:rowOff>
    </xdr:from>
    <xdr:to>
      <xdr:col>10</xdr:col>
      <xdr:colOff>271156</xdr:colOff>
      <xdr:row>15</xdr:row>
      <xdr:rowOff>162315</xdr:rowOff>
    </xdr:to>
    <xdr:graphicFrame macro="">
      <xdr:nvGraphicFramePr>
        <xdr:cNvPr id="2" name="Chart 1">
          <a:extLst>
            <a:ext uri="{FF2B5EF4-FFF2-40B4-BE49-F238E27FC236}">
              <a16:creationId xmlns:a16="http://schemas.microsoft.com/office/drawing/2014/main" id="{AEBD4034-1419-4FBA-A898-302A2F6D3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6127</xdr:colOff>
      <xdr:row>16</xdr:row>
      <xdr:rowOff>107949</xdr:rowOff>
    </xdr:from>
    <xdr:to>
      <xdr:col>10</xdr:col>
      <xdr:colOff>298227</xdr:colOff>
      <xdr:row>31</xdr:row>
      <xdr:rowOff>53974</xdr:rowOff>
    </xdr:to>
    <xdr:graphicFrame macro="">
      <xdr:nvGraphicFramePr>
        <xdr:cNvPr id="3" name="Chart 2">
          <a:extLst>
            <a:ext uri="{FF2B5EF4-FFF2-40B4-BE49-F238E27FC236}">
              <a16:creationId xmlns:a16="http://schemas.microsoft.com/office/drawing/2014/main" id="{8BD96621-843D-45BD-B8BA-4A3D2EF00B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394025</xdr:colOff>
      <xdr:row>1</xdr:row>
      <xdr:rowOff>173892</xdr:rowOff>
    </xdr:from>
    <xdr:to>
      <xdr:col>15</xdr:col>
      <xdr:colOff>24748</xdr:colOff>
      <xdr:row>15</xdr:row>
      <xdr:rowOff>76607</xdr:rowOff>
    </xdr:to>
    <mc:AlternateContent xmlns:mc="http://schemas.openxmlformats.org/markup-compatibility/2006" xmlns:a14="http://schemas.microsoft.com/office/drawing/2010/main">
      <mc:Choice Requires="a14">
        <xdr:graphicFrame macro="">
          <xdr:nvGraphicFramePr>
            <xdr:cNvPr id="4" name="Production">
              <a:extLst>
                <a:ext uri="{FF2B5EF4-FFF2-40B4-BE49-F238E27FC236}">
                  <a16:creationId xmlns:a16="http://schemas.microsoft.com/office/drawing/2014/main" id="{DFEA0C22-4CE4-46F9-9AC2-002C636BFD3F}"/>
                </a:ext>
              </a:extLst>
            </xdr:cNvPr>
            <xdr:cNvGraphicFramePr/>
          </xdr:nvGraphicFramePr>
          <xdr:xfrm>
            <a:off x="0" y="0"/>
            <a:ext cx="0" cy="0"/>
          </xdr:xfrm>
          <a:graphic>
            <a:graphicData uri="http://schemas.microsoft.com/office/drawing/2010/slicer">
              <sle:slicer xmlns:sle="http://schemas.microsoft.com/office/drawing/2010/slicer" name="Production"/>
            </a:graphicData>
          </a:graphic>
        </xdr:graphicFrame>
      </mc:Choice>
      <mc:Fallback xmlns="">
        <xdr:sp macro="" textlink="">
          <xdr:nvSpPr>
            <xdr:cNvPr id="0" name=""/>
            <xdr:cNvSpPr>
              <a:spLocks noTextEdit="1"/>
            </xdr:cNvSpPr>
          </xdr:nvSpPr>
          <xdr:spPr>
            <a:xfrm>
              <a:off x="7574410" y="36113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418448</xdr:colOff>
      <xdr:row>15</xdr:row>
      <xdr:rowOff>165751</xdr:rowOff>
    </xdr:from>
    <xdr:to>
      <xdr:col>15</xdr:col>
      <xdr:colOff>49171</xdr:colOff>
      <xdr:row>29</xdr:row>
      <xdr:rowOff>68466</xdr:rowOff>
    </xdr:to>
    <mc:AlternateContent xmlns:mc="http://schemas.openxmlformats.org/markup-compatibility/2006" xmlns:a14="http://schemas.microsoft.com/office/drawing/2010/main">
      <mc:Choice Requires="a14">
        <xdr:graphicFrame macro="">
          <xdr:nvGraphicFramePr>
            <xdr:cNvPr id="5" name="Sales">
              <a:extLst>
                <a:ext uri="{FF2B5EF4-FFF2-40B4-BE49-F238E27FC236}">
                  <a16:creationId xmlns:a16="http://schemas.microsoft.com/office/drawing/2014/main" id="{348CBDEE-56A3-43D8-8BBC-31BAA266FB32}"/>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598833" y="297440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253999</xdr:colOff>
      <xdr:row>33</xdr:row>
      <xdr:rowOff>97856</xdr:rowOff>
    </xdr:from>
    <xdr:to>
      <xdr:col>13</xdr:col>
      <xdr:colOff>113974</xdr:colOff>
      <xdr:row>47</xdr:row>
      <xdr:rowOff>81410</xdr:rowOff>
    </xdr:to>
    <xdr:graphicFrame macro="">
      <xdr:nvGraphicFramePr>
        <xdr:cNvPr id="6" name="Chart 5">
          <a:extLst>
            <a:ext uri="{FF2B5EF4-FFF2-40B4-BE49-F238E27FC236}">
              <a16:creationId xmlns:a16="http://schemas.microsoft.com/office/drawing/2014/main" id="{848BE85E-5653-4182-86D0-C8208E0F5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143119</xdr:colOff>
      <xdr:row>32</xdr:row>
      <xdr:rowOff>186918</xdr:rowOff>
    </xdr:from>
    <xdr:to>
      <xdr:col>17</xdr:col>
      <xdr:colOff>213458</xdr:colOff>
      <xdr:row>46</xdr:row>
      <xdr:rowOff>89633</xdr:rowOff>
    </xdr:to>
    <mc:AlternateContent xmlns:mc="http://schemas.openxmlformats.org/markup-compatibility/2006">
      <mc:Choice xmlns:a14="http://schemas.microsoft.com/office/drawing/2010/main" Requires="a14">
        <xdr:graphicFrame macro="">
          <xdr:nvGraphicFramePr>
            <xdr:cNvPr id="8" name="Gdp">
              <a:extLst>
                <a:ext uri="{FF2B5EF4-FFF2-40B4-BE49-F238E27FC236}">
                  <a16:creationId xmlns:a16="http://schemas.microsoft.com/office/drawing/2014/main" id="{14629576-B8E6-409F-8CE1-68ABDD53F020}"/>
                </a:ext>
              </a:extLst>
            </xdr:cNvPr>
            <xdr:cNvGraphicFramePr/>
          </xdr:nvGraphicFramePr>
          <xdr:xfrm>
            <a:off x="0" y="0"/>
            <a:ext cx="0" cy="0"/>
          </xdr:xfrm>
          <a:graphic>
            <a:graphicData uri="http://schemas.microsoft.com/office/drawing/2010/slicer">
              <sle:slicer xmlns:sle="http://schemas.microsoft.com/office/drawing/2010/slicer" name="Gdp"/>
            </a:graphicData>
          </a:graphic>
        </xdr:graphicFrame>
      </mc:Choice>
      <mc:Fallback>
        <xdr:sp macro="" textlink="">
          <xdr:nvSpPr>
            <xdr:cNvPr id="0" name=""/>
            <xdr:cNvSpPr>
              <a:spLocks noTextEdit="1"/>
            </xdr:cNvSpPr>
          </xdr:nvSpPr>
          <xdr:spPr>
            <a:xfrm>
              <a:off x="8699337" y="61787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319129</xdr:colOff>
      <xdr:row>50</xdr:row>
      <xdr:rowOff>8142</xdr:rowOff>
    </xdr:from>
    <xdr:to>
      <xdr:col>13</xdr:col>
      <xdr:colOff>276795</xdr:colOff>
      <xdr:row>63</xdr:row>
      <xdr:rowOff>187081</xdr:rowOff>
    </xdr:to>
    <xdr:graphicFrame macro="">
      <xdr:nvGraphicFramePr>
        <xdr:cNvPr id="9" name="Chart 8">
          <a:extLst>
            <a:ext uri="{FF2B5EF4-FFF2-40B4-BE49-F238E27FC236}">
              <a16:creationId xmlns:a16="http://schemas.microsoft.com/office/drawing/2014/main" id="{AB410B93-CE02-46EB-ABC0-F28F4160C3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337039</xdr:colOff>
      <xdr:row>49</xdr:row>
      <xdr:rowOff>168356</xdr:rowOff>
    </xdr:from>
    <xdr:to>
      <xdr:col>18</xdr:col>
      <xdr:colOff>49172</xdr:colOff>
      <xdr:row>63</xdr:row>
      <xdr:rowOff>71071</xdr:rowOff>
    </xdr:to>
    <mc:AlternateContent xmlns:mc="http://schemas.openxmlformats.org/markup-compatibility/2006">
      <mc:Choice xmlns:a14="http://schemas.microsoft.com/office/drawing/2010/main" Requires="a14">
        <xdr:graphicFrame macro="">
          <xdr:nvGraphicFramePr>
            <xdr:cNvPr id="10" name="Disbursement">
              <a:extLst>
                <a:ext uri="{FF2B5EF4-FFF2-40B4-BE49-F238E27FC236}">
                  <a16:creationId xmlns:a16="http://schemas.microsoft.com/office/drawing/2014/main" id="{E50C6C20-28C5-4A49-B926-464C78F3C4F9}"/>
                </a:ext>
              </a:extLst>
            </xdr:cNvPr>
            <xdr:cNvGraphicFramePr/>
          </xdr:nvGraphicFramePr>
          <xdr:xfrm>
            <a:off x="0" y="0"/>
            <a:ext cx="0" cy="0"/>
          </xdr:xfrm>
          <a:graphic>
            <a:graphicData uri="http://schemas.microsoft.com/office/drawing/2010/slicer">
              <sle:slicer xmlns:sle="http://schemas.microsoft.com/office/drawing/2010/slicer" name="Disbursement"/>
            </a:graphicData>
          </a:graphic>
        </xdr:graphicFrame>
      </mc:Choice>
      <mc:Fallback>
        <xdr:sp macro="" textlink="">
          <xdr:nvSpPr>
            <xdr:cNvPr id="0" name=""/>
            <xdr:cNvSpPr>
              <a:spLocks noTextEdit="1"/>
            </xdr:cNvSpPr>
          </xdr:nvSpPr>
          <xdr:spPr>
            <a:xfrm>
              <a:off x="8893257" y="934329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197012</xdr:colOff>
      <xdr:row>66</xdr:row>
      <xdr:rowOff>146538</xdr:rowOff>
    </xdr:from>
    <xdr:to>
      <xdr:col>14</xdr:col>
      <xdr:colOff>325641</xdr:colOff>
      <xdr:row>80</xdr:row>
      <xdr:rowOff>130094</xdr:rowOff>
    </xdr:to>
    <xdr:graphicFrame macro="">
      <xdr:nvGraphicFramePr>
        <xdr:cNvPr id="11" name="Chart 10">
          <a:extLst>
            <a:ext uri="{FF2B5EF4-FFF2-40B4-BE49-F238E27FC236}">
              <a16:creationId xmlns:a16="http://schemas.microsoft.com/office/drawing/2014/main" id="{EB8A4669-61FB-43B4-90C8-C67FAFA14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27679</xdr:colOff>
      <xdr:row>66</xdr:row>
      <xdr:rowOff>166240</xdr:rowOff>
    </xdr:from>
    <xdr:to>
      <xdr:col>19</xdr:col>
      <xdr:colOff>179428</xdr:colOff>
      <xdr:row>80</xdr:row>
      <xdr:rowOff>68955</xdr:rowOff>
    </xdr:to>
    <mc:AlternateContent xmlns:mc="http://schemas.openxmlformats.org/markup-compatibility/2006">
      <mc:Choice xmlns:a14="http://schemas.microsoft.com/office/drawing/2010/main" Requires="a14">
        <xdr:graphicFrame macro="">
          <xdr:nvGraphicFramePr>
            <xdr:cNvPr id="12" name="Interest Rate">
              <a:extLst>
                <a:ext uri="{FF2B5EF4-FFF2-40B4-BE49-F238E27FC236}">
                  <a16:creationId xmlns:a16="http://schemas.microsoft.com/office/drawing/2014/main" id="{D8ADBBC1-CE1F-4349-A5D8-AA32D496E813}"/>
                </a:ext>
              </a:extLst>
            </xdr:cNvPr>
            <xdr:cNvGraphicFramePr/>
          </xdr:nvGraphicFramePr>
          <xdr:xfrm>
            <a:off x="0" y="0"/>
            <a:ext cx="0" cy="0"/>
          </xdr:xfrm>
          <a:graphic>
            <a:graphicData uri="http://schemas.microsoft.com/office/drawing/2010/slicer">
              <sle:slicer xmlns:sle="http://schemas.microsoft.com/office/drawing/2010/slicer" name="Interest Rate"/>
            </a:graphicData>
          </a:graphic>
        </xdr:graphicFrame>
      </mc:Choice>
      <mc:Fallback>
        <xdr:sp macro="" textlink="">
          <xdr:nvSpPr>
            <xdr:cNvPr id="0" name=""/>
            <xdr:cNvSpPr>
              <a:spLocks noTextEdit="1"/>
            </xdr:cNvSpPr>
          </xdr:nvSpPr>
          <xdr:spPr>
            <a:xfrm>
              <a:off x="9463128" y="1252431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495300</xdr:colOff>
      <xdr:row>0</xdr:row>
      <xdr:rowOff>82549</xdr:rowOff>
    </xdr:from>
    <xdr:to>
      <xdr:col>13</xdr:col>
      <xdr:colOff>111125</xdr:colOff>
      <xdr:row>37</xdr:row>
      <xdr:rowOff>150812</xdr:rowOff>
    </xdr:to>
    <xdr:sp macro="" textlink="">
      <xdr:nvSpPr>
        <xdr:cNvPr id="2" name="TextBox 1">
          <a:extLst>
            <a:ext uri="{FF2B5EF4-FFF2-40B4-BE49-F238E27FC236}">
              <a16:creationId xmlns:a16="http://schemas.microsoft.com/office/drawing/2014/main" id="{7B3AF63C-C8D5-4379-8059-A20CABAAF587}"/>
            </a:ext>
          </a:extLst>
        </xdr:cNvPr>
        <xdr:cNvSpPr txBox="1"/>
      </xdr:nvSpPr>
      <xdr:spPr>
        <a:xfrm>
          <a:off x="1104900" y="82549"/>
          <a:ext cx="6931025" cy="6881813"/>
        </a:xfrm>
        <a:prstGeom prst="rect">
          <a:avLst/>
        </a:prstGeom>
        <a:solidFill>
          <a:schemeClr val="bg2">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NAME</a:t>
          </a:r>
          <a:r>
            <a:rPr lang="en-US" sz="1100" b="1" baseline="0"/>
            <a:t> OF STUDENT</a:t>
          </a:r>
          <a:r>
            <a:rPr lang="en-US" sz="1100"/>
            <a:t>:</a:t>
          </a:r>
          <a:r>
            <a:rPr lang="en-US" sz="1200" b="0"/>
            <a:t>ADEYANJU</a:t>
          </a:r>
          <a:r>
            <a:rPr lang="en-US" sz="1200" b="0" baseline="0"/>
            <a:t> ABDULFATAI ADEDAYO</a:t>
          </a:r>
        </a:p>
        <a:p>
          <a:r>
            <a:rPr lang="en-US" sz="1100" b="1" baseline="0"/>
            <a:t>PROJECT TOPIC </a:t>
          </a:r>
          <a:r>
            <a:rPr lang="en-US" sz="1100" b="0" baseline="0"/>
            <a:t>:</a:t>
          </a:r>
          <a:r>
            <a:rPr lang="en-US" sz="1200" b="0" baseline="0"/>
            <a:t>CEMENT SALES &amp;DEMAND</a:t>
          </a:r>
        </a:p>
        <a:p>
          <a:r>
            <a:rPr lang="en-US" sz="1100" b="1" baseline="0"/>
            <a:t>SUB TOPIC</a:t>
          </a:r>
          <a:r>
            <a:rPr lang="en-US" sz="1100" b="0" baseline="0"/>
            <a:t>:</a:t>
          </a:r>
          <a:r>
            <a:rPr lang="en-US" sz="1200" b="0" baseline="0"/>
            <a:t>EXTERNAL FACTORS AFFECTING CEMENT SALES AND DEMAND</a:t>
          </a:r>
        </a:p>
        <a:p>
          <a:endParaRPr lang="en-US" sz="1100" b="1" baseline="0"/>
        </a:p>
        <a:p>
          <a:r>
            <a:rPr lang="en-US" sz="1100" b="1"/>
            <a:t>INTRODUCTION:</a:t>
          </a:r>
          <a:r>
            <a:rPr lang="en-US" sz="1100"/>
            <a:t>The cement industry plays a vital role in the economic development of any country, particularly in emerging economies like India where infrastructure development, housing projects, and urbanization are continuously expanding. Cement serves as a fundamental input in construction activities, making its production, sales, and demand closely linked to economic growth and population dynamics.</a:t>
          </a:r>
        </a:p>
        <a:p>
          <a:endParaRPr lang="en-US" sz="1100"/>
        </a:p>
        <a:p>
          <a:r>
            <a:rPr lang="en-US" sz="1100"/>
            <a:t>Understanding the factors that influence cement sales and demand is essential for manufacturers, policymakers, and investors to make informed decisions. Cement demand is not only driven by internal production capacity and sales performance but is also significantly affected by external economic indicators such as population growth, Gross Domestic Product (GDP), housing loan disbursement, and interest rates. These factors collectively shape construction activity and purchasing power within the economy.</a:t>
          </a:r>
        </a:p>
        <a:p>
          <a:endParaRPr lang="en-US" sz="1100"/>
        </a:p>
        <a:p>
          <a:r>
            <a:rPr lang="en-US" sz="1100"/>
            <a:t>This study analyzes a simulated monthly dataset covering the period from January 2010 to November 2022. The dataset includes key variables such as cement production, sales, demand, population, GDP, home loan disbursement, and interest rates. Although the original data was collected on a yearly basis, it was simulated into a monthly format using insights from relevant research papers to allow for more detailed time-series analysis.</a:t>
          </a:r>
        </a:p>
        <a:p>
          <a:endParaRPr lang="en-US" sz="1100"/>
        </a:p>
        <a:p>
          <a:r>
            <a:rPr lang="en-US" sz="1100"/>
            <a:t>The primary objective of this project is to examine the relationships between cement production, sales, and demand, as well as to assess the impact of major economic and demographic factors on the cement industry in India. by</a:t>
          </a:r>
          <a:r>
            <a:rPr lang="en-US" sz="1100" baseline="0"/>
            <a:t> download the data and comfirm that the month column is formatted as a date and Create a</a:t>
          </a:r>
          <a:r>
            <a:rPr lang="en-US" sz="1100"/>
            <a:t> Pivot</a:t>
          </a:r>
          <a:r>
            <a:rPr lang="en-US" sz="1100" baseline="0"/>
            <a:t> Tables,by using </a:t>
          </a:r>
          <a:r>
            <a:rPr lang="en-US" sz="1100"/>
            <a:t> (Microsoft Excel tools), to study  meaningful patterns and provide insights that can support strategic planning for Cement Sales</a:t>
          </a:r>
          <a:r>
            <a:rPr lang="en-US" sz="1100" baseline="0"/>
            <a:t> </a:t>
          </a:r>
          <a:r>
            <a:rPr lang="en-US" sz="1100"/>
            <a:t>and demand in the cement sector.</a:t>
          </a:r>
        </a:p>
        <a:p>
          <a:endParaRPr lang="en-US" sz="1100"/>
        </a:p>
        <a:p>
          <a:r>
            <a:rPr lang="en-US" sz="1100"/>
            <a:t>Ultimately, this research contributes to a better understanding of how internal operational factors and external economic conditions interact to influence cement sales and demand over time.</a:t>
          </a:r>
        </a:p>
        <a:p>
          <a:endParaRPr lang="en-US" sz="1100"/>
        </a:p>
        <a:p>
          <a:endParaRPr lang="en-US" sz="1100"/>
        </a:p>
        <a:p>
          <a:r>
            <a:rPr lang="en-US" sz="1100"/>
            <a:t>  </a:t>
          </a:r>
          <a:r>
            <a:rPr lang="en-US" sz="1100" b="1"/>
            <a:t>RESEARCH</a:t>
          </a:r>
          <a:r>
            <a:rPr lang="en-US" sz="1100" b="1" baseline="0"/>
            <a:t> QUESTION</a:t>
          </a:r>
        </a:p>
        <a:p>
          <a:r>
            <a:rPr lang="en-US" sz="1100" baseline="0"/>
            <a:t>1.</a:t>
          </a:r>
          <a:r>
            <a:rPr lang="en-US" sz="1100"/>
            <a:t>What is the trend of cement production  from</a:t>
          </a:r>
          <a:r>
            <a:rPr lang="en-US" sz="1100" baseline="0"/>
            <a:t> (Jan-Dec)</a:t>
          </a:r>
          <a:r>
            <a:rPr lang="en-US" sz="1100"/>
            <a:t>		</a:t>
          </a:r>
        </a:p>
        <a:p>
          <a:r>
            <a:rPr lang="en-US" sz="1100"/>
            <a:t>2.How do cement sales vary over time, and how are they related to production levels?		</a:t>
          </a:r>
        </a:p>
        <a:p>
          <a:r>
            <a:rPr lang="en-US" sz="1100"/>
            <a:t>3.How does India’s Gross Domestic Product (GDP) influence cement production and sales?		</a:t>
          </a:r>
        </a:p>
        <a:p>
          <a:r>
            <a:rPr lang="en-US" sz="1100"/>
            <a:t>4.What is the impact of home loan disbursement on cement sales and production</a:t>
          </a:r>
        </a:p>
        <a:p>
          <a:r>
            <a:rPr lang="en-US" sz="1100"/>
            <a:t>5.What effect do changes in interest rates have on cement demand and sales?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527050</xdr:colOff>
      <xdr:row>0</xdr:row>
      <xdr:rowOff>82550</xdr:rowOff>
    </xdr:from>
    <xdr:to>
      <xdr:col>9</xdr:col>
      <xdr:colOff>603250</xdr:colOff>
      <xdr:row>24</xdr:row>
      <xdr:rowOff>19050</xdr:rowOff>
    </xdr:to>
    <xdr:sp macro="" textlink="">
      <xdr:nvSpPr>
        <xdr:cNvPr id="2" name="TextBox 1">
          <a:extLst>
            <a:ext uri="{FF2B5EF4-FFF2-40B4-BE49-F238E27FC236}">
              <a16:creationId xmlns:a16="http://schemas.microsoft.com/office/drawing/2014/main" id="{3DBDD266-0594-47F1-A6C5-D2E833DBF3CE}"/>
            </a:ext>
          </a:extLst>
        </xdr:cNvPr>
        <xdr:cNvSpPr txBox="1"/>
      </xdr:nvSpPr>
      <xdr:spPr>
        <a:xfrm>
          <a:off x="527050" y="82550"/>
          <a:ext cx="5562600" cy="4356100"/>
        </a:xfrm>
        <a:prstGeom prst="rect">
          <a:avLst/>
        </a:prstGeom>
        <a:solidFill>
          <a:schemeClr val="bg1">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US" sz="1100"/>
            <a:t>PROJECT</a:t>
          </a:r>
          <a:r>
            <a:rPr lang="en-US" sz="1100" baseline="0"/>
            <a:t> INTERPRETATION</a:t>
          </a:r>
        </a:p>
        <a:p>
          <a:pPr algn="l"/>
          <a:r>
            <a:rPr lang="en-US" sz="1100" baseline="0"/>
            <a:t>NAME:ADEYANJU ABDULFATAI ADEDAYO</a:t>
          </a:r>
        </a:p>
        <a:p>
          <a:pPr algn="l"/>
          <a:r>
            <a:rPr lang="en-US" sz="1100" baseline="0"/>
            <a:t>TOPIC:CEMENT SALES&amp;DEMAND</a:t>
          </a:r>
        </a:p>
        <a:p>
          <a:pPr algn="l"/>
          <a:endParaRPr lang="en-US" sz="1100"/>
        </a:p>
        <a:p>
          <a:pPr algn="l"/>
          <a:endParaRPr lang="en-US" sz="1100"/>
        </a:p>
        <a:p>
          <a:pPr algn="l"/>
          <a:r>
            <a:rPr lang="en-US" sz="1100"/>
            <a:t>Production Analysis:</a:t>
          </a:r>
        </a:p>
        <a:p>
          <a:pPr algn="l"/>
          <a:r>
            <a:rPr lang="en-US" sz="1100"/>
            <a:t>The trend in cement production from 2010 to 2022 was analyzed using monthly data (January to November) to determine the average annual cement production trend over time.</a:t>
          </a:r>
        </a:p>
        <a:p>
          <a:pPr algn="l"/>
          <a:endParaRPr lang="en-US" sz="1100"/>
        </a:p>
        <a:p>
          <a:pPr algn="l"/>
          <a:r>
            <a:rPr lang="en-US" sz="1100"/>
            <a:t>Sales Analysis:</a:t>
          </a:r>
        </a:p>
        <a:p>
          <a:pPr algn="l"/>
          <a:r>
            <a:rPr lang="en-US" sz="1100"/>
            <a:t>The trend in cement sales from 2010 to 2022 was examined using monthly data (January to November) to evaluate the average cement sales trend over time.</a:t>
          </a:r>
        </a:p>
        <a:p>
          <a:pPr algn="l"/>
          <a:endParaRPr lang="en-US" sz="1100"/>
        </a:p>
        <a:p>
          <a:pPr algn="l"/>
          <a:r>
            <a:rPr lang="en-US" sz="1100"/>
            <a:t>GDP Regression Analysis:</a:t>
          </a:r>
        </a:p>
        <a:p>
          <a:pPr algn="l"/>
          <a:r>
            <a:rPr lang="en-US" sz="1100"/>
            <a:t>A regression analysis was conducted to assess the influence of Gross Domestic Product (GDP) on cement production and sales, and to measure its effect on production and sales volumes (in tons).</a:t>
          </a:r>
        </a:p>
        <a:p>
          <a:pPr algn="l"/>
          <a:endParaRPr lang="en-US" sz="1100"/>
        </a:p>
        <a:p>
          <a:pPr algn="l"/>
          <a:r>
            <a:rPr lang="en-US" sz="1100"/>
            <a:t>Loan Disbursement Impact:</a:t>
          </a:r>
        </a:p>
        <a:p>
          <a:pPr algn="l"/>
          <a:r>
            <a:rPr lang="en-US" sz="1100"/>
            <a:t>Multiple linear regression analysis was performed using loan disbursement data to determine its impact on cement production and sales.</a:t>
          </a:r>
        </a:p>
        <a:p>
          <a:pPr algn="l"/>
          <a:endParaRPr lang="en-US" sz="1100"/>
        </a:p>
        <a:p>
          <a:pPr algn="l"/>
          <a:r>
            <a:rPr lang="en-US" sz="1100"/>
            <a:t>Interest Rate Impact:</a:t>
          </a:r>
        </a:p>
        <a:p>
          <a:pPr algn="l"/>
          <a:r>
            <a:rPr lang="en-US" sz="1100"/>
            <a:t>Multiple linear regression analysis was also carried out to evaluate the effect of changes in interest rates on cement production and sales.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xdr:row>
      <xdr:rowOff>15119</xdr:rowOff>
    </xdr:from>
    <xdr:to>
      <xdr:col>18</xdr:col>
      <xdr:colOff>529167</xdr:colOff>
      <xdr:row>36</xdr:row>
      <xdr:rowOff>48802</xdr:rowOff>
    </xdr:to>
    <xdr:sp macro="" textlink="">
      <xdr:nvSpPr>
        <xdr:cNvPr id="2" name="Rectangle: Rounded Corners 1">
          <a:extLst>
            <a:ext uri="{FF2B5EF4-FFF2-40B4-BE49-F238E27FC236}">
              <a16:creationId xmlns:a16="http://schemas.microsoft.com/office/drawing/2014/main" id="{80DE2636-2E25-4393-9F8F-D82572E0CEF1}"/>
            </a:ext>
          </a:extLst>
        </xdr:cNvPr>
        <xdr:cNvSpPr/>
      </xdr:nvSpPr>
      <xdr:spPr>
        <a:xfrm>
          <a:off x="0" y="383419"/>
          <a:ext cx="11501967" cy="6294783"/>
        </a:xfrm>
        <a:prstGeom prst="roundRect">
          <a:avLst/>
        </a:prstGeom>
        <a:solidFill>
          <a:schemeClr val="bg1">
            <a:lumMod val="75000"/>
          </a:schemeClr>
        </a:solidFill>
        <a:ln>
          <a:solidFill>
            <a:schemeClr val="bg2"/>
          </a:solidFill>
        </a:ln>
      </xdr:spPr>
      <xdr:style>
        <a:lnRef idx="2">
          <a:schemeClr val="dk1">
            <a:shade val="50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endParaRPr lang="en-US"/>
        </a:p>
      </xdr:txBody>
    </xdr:sp>
    <xdr:clientData/>
  </xdr:twoCellAnchor>
  <xdr:twoCellAnchor>
    <xdr:from>
      <xdr:col>3</xdr:col>
      <xdr:colOff>46626</xdr:colOff>
      <xdr:row>2</xdr:row>
      <xdr:rowOff>39077</xdr:rowOff>
    </xdr:from>
    <xdr:to>
      <xdr:col>15</xdr:col>
      <xdr:colOff>602711</xdr:colOff>
      <xdr:row>6</xdr:row>
      <xdr:rowOff>168672</xdr:rowOff>
    </xdr:to>
    <xdr:sp macro="" textlink="">
      <xdr:nvSpPr>
        <xdr:cNvPr id="3" name="Rectangle: Rounded Corners 2">
          <a:extLst>
            <a:ext uri="{FF2B5EF4-FFF2-40B4-BE49-F238E27FC236}">
              <a16:creationId xmlns:a16="http://schemas.microsoft.com/office/drawing/2014/main" id="{8BD7E5B4-A3CA-43B3-8884-FC745C95DE45}"/>
            </a:ext>
          </a:extLst>
        </xdr:cNvPr>
        <xdr:cNvSpPr/>
      </xdr:nvSpPr>
      <xdr:spPr>
        <a:xfrm>
          <a:off x="1887050" y="405009"/>
          <a:ext cx="7917780" cy="861460"/>
        </a:xfrm>
        <a:prstGeom prst="roundRect">
          <a:avLst/>
        </a:prstGeom>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900" b="0" cap="none" spc="0">
              <a:ln w="0"/>
              <a:solidFill>
                <a:schemeClr val="tx1"/>
              </a:solidFill>
              <a:effectLst>
                <a:outerShdw blurRad="38100" dist="19050" dir="2700000" algn="tl" rotWithShape="0">
                  <a:schemeClr val="dk1">
                    <a:alpha val="40000"/>
                  </a:schemeClr>
                </a:outerShdw>
              </a:effectLst>
            </a:rPr>
            <a:t>CEMENT SALES&amp;DEMAND</a:t>
          </a:r>
        </a:p>
        <a:p>
          <a:pPr algn="ctr"/>
          <a:r>
            <a:rPr lang="en-US" sz="1900" b="0" cap="none" spc="0">
              <a:ln w="0"/>
              <a:solidFill>
                <a:schemeClr val="tx1"/>
              </a:solidFill>
              <a:effectLst>
                <a:outerShdw blurRad="38100" dist="19050" dir="2700000" algn="tl" rotWithShape="0">
                  <a:schemeClr val="dk1">
                    <a:alpha val="40000"/>
                  </a:schemeClr>
                </a:outerShdw>
              </a:effectLst>
            </a:rPr>
            <a:t>External Factors Affecting Cement Sales And Demand</a:t>
          </a:r>
        </a:p>
      </xdr:txBody>
    </xdr:sp>
    <xdr:clientData/>
  </xdr:twoCellAnchor>
  <xdr:twoCellAnchor editAs="oneCell">
    <xdr:from>
      <xdr:col>0</xdr:col>
      <xdr:colOff>424563</xdr:colOff>
      <xdr:row>2</xdr:row>
      <xdr:rowOff>43050</xdr:rowOff>
    </xdr:from>
    <xdr:to>
      <xdr:col>3</xdr:col>
      <xdr:colOff>31807</xdr:colOff>
      <xdr:row>6</xdr:row>
      <xdr:rowOff>150677</xdr:rowOff>
    </xdr:to>
    <xdr:pic>
      <xdr:nvPicPr>
        <xdr:cNvPr id="22" name="Picture 21">
          <a:extLst>
            <a:ext uri="{FF2B5EF4-FFF2-40B4-BE49-F238E27FC236}">
              <a16:creationId xmlns:a16="http://schemas.microsoft.com/office/drawing/2014/main" id="{8335F6F8-60AD-45BB-A600-7AD63D8296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4563" y="408982"/>
          <a:ext cx="1447668" cy="83949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6</xdr:col>
      <xdr:colOff>595924</xdr:colOff>
      <xdr:row>7</xdr:row>
      <xdr:rowOff>9769</xdr:rowOff>
    </xdr:from>
    <xdr:to>
      <xdr:col>10</xdr:col>
      <xdr:colOff>146540</xdr:colOff>
      <xdr:row>13</xdr:row>
      <xdr:rowOff>19538</xdr:rowOff>
    </xdr:to>
    <mc:AlternateContent xmlns:mc="http://schemas.openxmlformats.org/markup-compatibility/2006">
      <mc:Choice xmlns:a14="http://schemas.microsoft.com/office/drawing/2010/main" Requires="a14">
        <xdr:graphicFrame macro="">
          <xdr:nvGraphicFramePr>
            <xdr:cNvPr id="31" name="Production 1">
              <a:extLst>
                <a:ext uri="{FF2B5EF4-FFF2-40B4-BE49-F238E27FC236}">
                  <a16:creationId xmlns:a16="http://schemas.microsoft.com/office/drawing/2014/main" id="{C115E1BA-689C-439E-9244-EC7051C86680}"/>
                </a:ext>
              </a:extLst>
            </xdr:cNvPr>
            <xdr:cNvGraphicFramePr/>
          </xdr:nvGraphicFramePr>
          <xdr:xfrm>
            <a:off x="0" y="0"/>
            <a:ext cx="0" cy="0"/>
          </xdr:xfrm>
          <a:graphic>
            <a:graphicData uri="http://schemas.microsoft.com/office/drawing/2010/slicer">
              <sle:slicer xmlns:sle="http://schemas.microsoft.com/office/drawing/2010/slicer" name="Production 1"/>
            </a:graphicData>
          </a:graphic>
        </xdr:graphicFrame>
      </mc:Choice>
      <mc:Fallback>
        <xdr:sp macro="" textlink="">
          <xdr:nvSpPr>
            <xdr:cNvPr id="0" name=""/>
            <xdr:cNvSpPr>
              <a:spLocks noTextEdit="1"/>
            </xdr:cNvSpPr>
          </xdr:nvSpPr>
          <xdr:spPr>
            <a:xfrm>
              <a:off x="4276771" y="1290532"/>
              <a:ext cx="2004515" cy="1107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556847</xdr:colOff>
      <xdr:row>13</xdr:row>
      <xdr:rowOff>97693</xdr:rowOff>
    </xdr:from>
    <xdr:to>
      <xdr:col>10</xdr:col>
      <xdr:colOff>127002</xdr:colOff>
      <xdr:row>20</xdr:row>
      <xdr:rowOff>166077</xdr:rowOff>
    </xdr:to>
    <mc:AlternateContent xmlns:mc="http://schemas.openxmlformats.org/markup-compatibility/2006">
      <mc:Choice xmlns:a14="http://schemas.microsoft.com/office/drawing/2010/main" Requires="a14">
        <xdr:graphicFrame macro="">
          <xdr:nvGraphicFramePr>
            <xdr:cNvPr id="34" name="Sales 1">
              <a:extLst>
                <a:ext uri="{FF2B5EF4-FFF2-40B4-BE49-F238E27FC236}">
                  <a16:creationId xmlns:a16="http://schemas.microsoft.com/office/drawing/2014/main" id="{92F749DB-BC10-4E83-B82B-DBED0F9CA1A0}"/>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4237694" y="2476252"/>
              <a:ext cx="2024054" cy="1349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58617</xdr:colOff>
      <xdr:row>6</xdr:row>
      <xdr:rowOff>185250</xdr:rowOff>
    </xdr:from>
    <xdr:to>
      <xdr:col>6</xdr:col>
      <xdr:colOff>547076</xdr:colOff>
      <xdr:row>22</xdr:row>
      <xdr:rowOff>136774</xdr:rowOff>
    </xdr:to>
    <xdr:graphicFrame macro="">
      <xdr:nvGraphicFramePr>
        <xdr:cNvPr id="36" name="Chart 35">
          <a:extLst>
            <a:ext uri="{FF2B5EF4-FFF2-40B4-BE49-F238E27FC236}">
              <a16:creationId xmlns:a16="http://schemas.microsoft.com/office/drawing/2014/main" id="{12C4D353-7D8F-454F-9B74-256819C08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537297</xdr:colOff>
      <xdr:row>22</xdr:row>
      <xdr:rowOff>156309</xdr:rowOff>
    </xdr:from>
    <xdr:to>
      <xdr:col>6</xdr:col>
      <xdr:colOff>586154</xdr:colOff>
      <xdr:row>35</xdr:row>
      <xdr:rowOff>146539</xdr:rowOff>
    </xdr:to>
    <xdr:graphicFrame macro="">
      <xdr:nvGraphicFramePr>
        <xdr:cNvPr id="37" name="Chart 36">
          <a:extLst>
            <a:ext uri="{FF2B5EF4-FFF2-40B4-BE49-F238E27FC236}">
              <a16:creationId xmlns:a16="http://schemas.microsoft.com/office/drawing/2014/main" id="{CBB879E4-6A01-4129-9C91-F14BD17CB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185614</xdr:colOff>
      <xdr:row>7</xdr:row>
      <xdr:rowOff>80574</xdr:rowOff>
    </xdr:from>
    <xdr:to>
      <xdr:col>18</xdr:col>
      <xdr:colOff>501486</xdr:colOff>
      <xdr:row>18</xdr:row>
      <xdr:rowOff>78155</xdr:rowOff>
    </xdr:to>
    <xdr:graphicFrame macro="">
      <xdr:nvGraphicFramePr>
        <xdr:cNvPr id="13" name="Chart 12">
          <a:extLst>
            <a:ext uri="{FF2B5EF4-FFF2-40B4-BE49-F238E27FC236}">
              <a16:creationId xmlns:a16="http://schemas.microsoft.com/office/drawing/2014/main" id="{DCADCD36-2380-4CCB-88E0-2865565B5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263770</xdr:colOff>
      <xdr:row>18</xdr:row>
      <xdr:rowOff>87926</xdr:rowOff>
    </xdr:from>
    <xdr:to>
      <xdr:col>19</xdr:col>
      <xdr:colOff>97693</xdr:colOff>
      <xdr:row>28</xdr:row>
      <xdr:rowOff>136770</xdr:rowOff>
    </xdr:to>
    <xdr:graphicFrame macro="">
      <xdr:nvGraphicFramePr>
        <xdr:cNvPr id="14" name="Chart 13">
          <a:extLst>
            <a:ext uri="{FF2B5EF4-FFF2-40B4-BE49-F238E27FC236}">
              <a16:creationId xmlns:a16="http://schemas.microsoft.com/office/drawing/2014/main" id="{832137DA-575D-474A-8010-3C5E43BBD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595923</xdr:colOff>
      <xdr:row>21</xdr:row>
      <xdr:rowOff>41496</xdr:rowOff>
    </xdr:from>
    <xdr:to>
      <xdr:col>10</xdr:col>
      <xdr:colOff>109416</xdr:colOff>
      <xdr:row>27</xdr:row>
      <xdr:rowOff>175846</xdr:rowOff>
    </xdr:to>
    <mc:AlternateContent xmlns:mc="http://schemas.openxmlformats.org/markup-compatibility/2006">
      <mc:Choice xmlns:a14="http://schemas.microsoft.com/office/drawing/2010/main" Requires="a14">
        <xdr:graphicFrame macro="">
          <xdr:nvGraphicFramePr>
            <xdr:cNvPr id="18" name="Interest Rate 1">
              <a:extLst>
                <a:ext uri="{FF2B5EF4-FFF2-40B4-BE49-F238E27FC236}">
                  <a16:creationId xmlns:a16="http://schemas.microsoft.com/office/drawing/2014/main" id="{65CCD7FF-FFB5-46CB-BAAF-16FD8512A432}"/>
                </a:ext>
              </a:extLst>
            </xdr:cNvPr>
            <xdr:cNvGraphicFramePr/>
          </xdr:nvGraphicFramePr>
          <xdr:xfrm>
            <a:off x="0" y="0"/>
            <a:ext cx="0" cy="0"/>
          </xdr:xfrm>
          <a:graphic>
            <a:graphicData uri="http://schemas.microsoft.com/office/drawing/2010/slicer">
              <sle:slicer xmlns:sle="http://schemas.microsoft.com/office/drawing/2010/slicer" name="Interest Rate 1"/>
            </a:graphicData>
          </a:graphic>
        </xdr:graphicFrame>
      </mc:Choice>
      <mc:Fallback>
        <xdr:sp macro="" textlink="">
          <xdr:nvSpPr>
            <xdr:cNvPr id="0" name=""/>
            <xdr:cNvSpPr>
              <a:spLocks noTextEdit="1"/>
            </xdr:cNvSpPr>
          </xdr:nvSpPr>
          <xdr:spPr>
            <a:xfrm>
              <a:off x="4276770" y="3883784"/>
              <a:ext cx="1967392" cy="1232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195385</xdr:colOff>
      <xdr:row>28</xdr:row>
      <xdr:rowOff>61036</xdr:rowOff>
    </xdr:from>
    <xdr:to>
      <xdr:col>17</xdr:col>
      <xdr:colOff>508000</xdr:colOff>
      <xdr:row>35</xdr:row>
      <xdr:rowOff>136771</xdr:rowOff>
    </xdr:to>
    <xdr:graphicFrame macro="">
      <xdr:nvGraphicFramePr>
        <xdr:cNvPr id="19" name="Chart 18">
          <a:extLst>
            <a:ext uri="{FF2B5EF4-FFF2-40B4-BE49-F238E27FC236}">
              <a16:creationId xmlns:a16="http://schemas.microsoft.com/office/drawing/2014/main" id="{9B5D1B26-5B21-4736-9C7D-8F5632EA3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576385</xdr:colOff>
      <xdr:row>28</xdr:row>
      <xdr:rowOff>41496</xdr:rowOff>
    </xdr:from>
    <xdr:to>
      <xdr:col>10</xdr:col>
      <xdr:colOff>119184</xdr:colOff>
      <xdr:row>34</xdr:row>
      <xdr:rowOff>166077</xdr:rowOff>
    </xdr:to>
    <mc:AlternateContent xmlns:mc="http://schemas.openxmlformats.org/markup-compatibility/2006">
      <mc:Choice xmlns:a14="http://schemas.microsoft.com/office/drawing/2010/main" Requires="a14">
        <xdr:graphicFrame macro="">
          <xdr:nvGraphicFramePr>
            <xdr:cNvPr id="20" name="Disbursement 1">
              <a:extLst>
                <a:ext uri="{FF2B5EF4-FFF2-40B4-BE49-F238E27FC236}">
                  <a16:creationId xmlns:a16="http://schemas.microsoft.com/office/drawing/2014/main" id="{2FA214F5-A7F5-4C7F-9090-E51FD145BAA6}"/>
                </a:ext>
              </a:extLst>
            </xdr:cNvPr>
            <xdr:cNvGraphicFramePr/>
          </xdr:nvGraphicFramePr>
          <xdr:xfrm>
            <a:off x="0" y="0"/>
            <a:ext cx="0" cy="0"/>
          </xdr:xfrm>
          <a:graphic>
            <a:graphicData uri="http://schemas.microsoft.com/office/drawing/2010/slicer">
              <sle:slicer xmlns:sle="http://schemas.microsoft.com/office/drawing/2010/slicer" name="Disbursement 1"/>
            </a:graphicData>
          </a:graphic>
        </xdr:graphicFrame>
      </mc:Choice>
      <mc:Fallback>
        <xdr:sp macro="" textlink="">
          <xdr:nvSpPr>
            <xdr:cNvPr id="0" name=""/>
            <xdr:cNvSpPr>
              <a:spLocks noTextEdit="1"/>
            </xdr:cNvSpPr>
          </xdr:nvSpPr>
          <xdr:spPr>
            <a:xfrm>
              <a:off x="4257232" y="5164547"/>
              <a:ext cx="1996698" cy="1222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48847</xdr:colOff>
      <xdr:row>18</xdr:row>
      <xdr:rowOff>100112</xdr:rowOff>
    </xdr:from>
    <xdr:to>
      <xdr:col>12</xdr:col>
      <xdr:colOff>273538</xdr:colOff>
      <xdr:row>28</xdr:row>
      <xdr:rowOff>78154</xdr:rowOff>
    </xdr:to>
    <mc:AlternateContent xmlns:mc="http://schemas.openxmlformats.org/markup-compatibility/2006">
      <mc:Choice xmlns:a14="http://schemas.microsoft.com/office/drawing/2010/main" Requires="a14">
        <xdr:graphicFrame macro="">
          <xdr:nvGraphicFramePr>
            <xdr:cNvPr id="21" name="Gdp 1">
              <a:extLst>
                <a:ext uri="{FF2B5EF4-FFF2-40B4-BE49-F238E27FC236}">
                  <a16:creationId xmlns:a16="http://schemas.microsoft.com/office/drawing/2014/main" id="{2EA2321E-5E2B-496E-925D-769B4DBBC733}"/>
                </a:ext>
              </a:extLst>
            </xdr:cNvPr>
            <xdr:cNvGraphicFramePr/>
          </xdr:nvGraphicFramePr>
          <xdr:xfrm>
            <a:off x="0" y="0"/>
            <a:ext cx="0" cy="0"/>
          </xdr:xfrm>
          <a:graphic>
            <a:graphicData uri="http://schemas.microsoft.com/office/drawing/2010/slicer">
              <sle:slicer xmlns:sle="http://schemas.microsoft.com/office/drawing/2010/slicer" name="Gdp 1"/>
            </a:graphicData>
          </a:graphic>
        </xdr:graphicFrame>
      </mc:Choice>
      <mc:Fallback>
        <xdr:sp macro="" textlink="">
          <xdr:nvSpPr>
            <xdr:cNvPr id="0" name=""/>
            <xdr:cNvSpPr>
              <a:spLocks noTextEdit="1"/>
            </xdr:cNvSpPr>
          </xdr:nvSpPr>
          <xdr:spPr>
            <a:xfrm>
              <a:off x="6183593" y="3393502"/>
              <a:ext cx="1451640" cy="1807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43051</xdr:colOff>
      <xdr:row>2</xdr:row>
      <xdr:rowOff>64574</xdr:rowOff>
    </xdr:from>
    <xdr:to>
      <xdr:col>18</xdr:col>
      <xdr:colOff>118390</xdr:colOff>
      <xdr:row>7</xdr:row>
      <xdr:rowOff>21524</xdr:rowOff>
    </xdr:to>
    <xdr:pic>
      <xdr:nvPicPr>
        <xdr:cNvPr id="9" name="Picture 8">
          <a:extLst>
            <a:ext uri="{FF2B5EF4-FFF2-40B4-BE49-F238E27FC236}">
              <a16:creationId xmlns:a16="http://schemas.microsoft.com/office/drawing/2014/main" id="{A0699A55-014E-40B8-9732-4691DD678180}"/>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9858644" y="430506"/>
          <a:ext cx="1302288" cy="871781"/>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550673</xdr:colOff>
      <xdr:row>1</xdr:row>
      <xdr:rowOff>35279</xdr:rowOff>
    </xdr:from>
    <xdr:to>
      <xdr:col>13</xdr:col>
      <xdr:colOff>370415</xdr:colOff>
      <xdr:row>42</xdr:row>
      <xdr:rowOff>79375</xdr:rowOff>
    </xdr:to>
    <xdr:sp macro="" textlink="">
      <xdr:nvSpPr>
        <xdr:cNvPr id="2" name="TextBox 1">
          <a:extLst>
            <a:ext uri="{FF2B5EF4-FFF2-40B4-BE49-F238E27FC236}">
              <a16:creationId xmlns:a16="http://schemas.microsoft.com/office/drawing/2014/main" id="{FCC2FC10-C1A5-44F6-8493-9267967784F8}"/>
            </a:ext>
          </a:extLst>
        </xdr:cNvPr>
        <xdr:cNvSpPr txBox="1"/>
      </xdr:nvSpPr>
      <xdr:spPr>
        <a:xfrm>
          <a:off x="1767756" y="220487"/>
          <a:ext cx="6513701" cy="7637638"/>
        </a:xfrm>
        <a:prstGeom prst="rect">
          <a:avLst/>
        </a:prstGeom>
        <a:solidFill>
          <a:schemeClr val="bg1">
            <a:lumMod val="75000"/>
          </a:schemeClr>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EXECUTIVE SUMMARY</a:t>
          </a:r>
        </a:p>
        <a:p>
          <a:endParaRPr lang="en-US" sz="1100"/>
        </a:p>
        <a:p>
          <a:r>
            <a:rPr lang="en-US" sz="1100" b="1"/>
            <a:t>Project</a:t>
          </a:r>
          <a:r>
            <a:rPr lang="en-US" sz="1100" b="1" baseline="0"/>
            <a:t> Topic</a:t>
          </a:r>
          <a:r>
            <a:rPr lang="en-US" sz="1100" baseline="0"/>
            <a:t>:</a:t>
          </a:r>
          <a:r>
            <a:rPr lang="en-US" sz="1300" baseline="0"/>
            <a:t>Cement Sales and Demand Analysis In India</a:t>
          </a:r>
        </a:p>
        <a:p>
          <a:r>
            <a:rPr lang="en-US" sz="1200" b="1" baseline="0"/>
            <a:t>Sub Topic</a:t>
          </a:r>
          <a:r>
            <a:rPr lang="en-US" sz="1300" baseline="0"/>
            <a:t>:External Factors Affecting Cement Sales and Demand</a:t>
          </a:r>
        </a:p>
        <a:p>
          <a:endParaRPr lang="en-US" sz="1200" baseline="0"/>
        </a:p>
        <a:p>
          <a:r>
            <a:rPr lang="en-US" sz="1200" b="1" baseline="0"/>
            <a:t>Data Overview</a:t>
          </a:r>
        </a:p>
        <a:p>
          <a:r>
            <a:rPr lang="en-US" sz="1200" baseline="0"/>
            <a:t>This project analyzes cement sales and demand in India by using simulated dataset developed from yearly data and converted to a monthly format based on findings from relevant research papers. The dataset spans from January 2010 to November 2022 and includes production, sales, demand, Production, Population, Gdp,Disbursement,Interestrate  that influence the cement industry</a:t>
          </a:r>
        </a:p>
        <a:p>
          <a:endParaRPr lang="en-US" sz="1200" baseline="0"/>
        </a:p>
        <a:p>
          <a:r>
            <a:rPr lang="en-US" sz="1200" b="1" baseline="0"/>
            <a:t>Question 1 </a:t>
          </a:r>
          <a:r>
            <a:rPr lang="en-US" sz="1200" baseline="0"/>
            <a:t>– Production, Sales, and Demand Trends Cement production, sales, and demand show noticeable variations over time. </a:t>
          </a:r>
        </a:p>
        <a:p>
          <a:endParaRPr lang="en-US" sz="1200" baseline="0"/>
        </a:p>
        <a:p>
          <a:r>
            <a:rPr lang="en-US" sz="1200" b="1" baseline="0"/>
            <a:t>Question 2</a:t>
          </a:r>
          <a:r>
            <a:rPr lang="en-US" sz="1200" baseline="0"/>
            <a:t> – Sales and Demand RelationshipThere is a strong positive relationship between cement sales and demand. As demand increases, sales also rise, suggesting that the company is largely able to meet market demand without significant supply constraints.</a:t>
          </a:r>
        </a:p>
        <a:p>
          <a:endParaRPr lang="en-US" sz="1200" baseline="0"/>
        </a:p>
        <a:p>
          <a:r>
            <a:rPr lang="en-US" sz="1200" b="1" baseline="0"/>
            <a:t>Question 3 – </a:t>
          </a:r>
          <a:r>
            <a:rPr lang="en-US" sz="1200" baseline="0"/>
            <a:t>Impact of Population and GDPPopulation growth and GDP both show a positive association with cement sales and demand. This suggests that economic growth and increasing population contribute to higher construction activity, leading to increased cement consumption.</a:t>
          </a:r>
        </a:p>
        <a:p>
          <a:endParaRPr lang="en-US" sz="1200" baseline="0"/>
        </a:p>
        <a:p>
          <a:r>
            <a:rPr lang="en-US" sz="1200" b="1" baseline="0"/>
            <a:t>Question 4</a:t>
          </a:r>
          <a:r>
            <a:rPr lang="en-US" sz="1200" baseline="0"/>
            <a:t> – Loan Disbursement and Interest RatesHigher home loan disbursement is associated with increased cement sales and demand, reflecting the role of housing finance in driving construction activity.</a:t>
          </a:r>
        </a:p>
        <a:p>
          <a:endParaRPr lang="en-US" sz="1200" baseline="0"/>
        </a:p>
        <a:p>
          <a:r>
            <a:rPr lang="en-US" sz="1200" b="1" baseline="0"/>
            <a:t>Question 5</a:t>
          </a:r>
          <a:r>
            <a:rPr lang="en-US" sz="1200" baseline="0"/>
            <a:t> – External Factors and Cement Demand Macroeconomic factors such as GDP growth and loan availability play a more significant role in influencing cement demand compared to short-term fluctuations in production.</a:t>
          </a:r>
        </a:p>
        <a:p>
          <a:endParaRPr lang="en-US" sz="1200" baseline="0"/>
        </a:p>
        <a:p>
          <a:endParaRPr lang="en-US" sz="1200" baseline="0"/>
        </a:p>
        <a:p>
          <a:endParaRPr lang="en-US" sz="1200" baseline="0"/>
        </a:p>
        <a:p>
          <a:endParaRPr lang="en-US" sz="1200" baseline="0"/>
        </a:p>
        <a:p>
          <a:r>
            <a:rPr lang="en-US" sz="1200" b="1" baseline="0"/>
            <a:t>Overall Conclusion</a:t>
          </a:r>
          <a:r>
            <a:rPr lang="en-US" sz="1200" baseline="0"/>
            <a:t>: the analysis indicates that cement sales and demand in India are strongly influenced by economic growth, population expansion, and housing finance conditions. Production and sales generally move in line with demand, suggesting effective operational planning. Interest rates act as a moderating factor, while GDP and loan disbursement emerge as key drivers of cement consumption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3.45676990741" createdVersion="7" refreshedVersion="7" minRefreshableVersion="3" recordCount="155" xr:uid="{00000000-000A-0000-FFFF-FFFF0A000000}">
  <cacheSource type="worksheet">
    <worksheetSource name="Table1"/>
  </cacheSource>
  <cacheFields count="9">
    <cacheField name="Month" numFmtId="16">
      <sharedItems count="12">
        <s v="Jan"/>
        <s v="Feb"/>
        <s v="Mar"/>
        <s v="Apr"/>
        <s v="May"/>
        <s v="Jun"/>
        <s v="Jul"/>
        <s v="Aug"/>
        <s v="Sep"/>
        <s v="Oct"/>
        <s v="Nov"/>
        <s v="Dec"/>
      </sharedItems>
    </cacheField>
    <cacheField name="Years" numFmtId="164">
      <sharedItems containsNonDate="0" containsDate="1" containsString="0" containsBlank="1" minDate="1905-07-02T00:00:00" maxDate="1905-07-03T00:00:00" count="2">
        <d v="1905-07-02T00:00:00"/>
        <m/>
      </sharedItems>
    </cacheField>
    <cacheField name="Production" numFmtId="0">
      <sharedItems containsSemiMixedTypes="0" containsString="0" containsNumber="1" containsInteger="1" minValue="169" maxValue="903" count="120">
        <n v="347"/>
        <n v="306"/>
        <n v="236"/>
        <n v="234"/>
        <n v="296"/>
        <n v="224"/>
        <n v="184"/>
        <n v="193"/>
        <n v="169"/>
        <n v="200"/>
        <n v="335"/>
        <n v="458"/>
        <n v="391"/>
        <n v="397"/>
        <n v="313"/>
        <n v="315"/>
        <n v="270"/>
        <n v="213"/>
        <n v="251"/>
        <n v="591"/>
        <n v="548"/>
        <n v="560"/>
        <n v="538"/>
        <n v="366"/>
        <n v="386"/>
        <n v="300"/>
        <n v="266"/>
        <n v="287"/>
        <n v="303"/>
        <n v="445"/>
        <n v="589"/>
        <n v="593"/>
        <n v="400"/>
        <n v="425"/>
        <n v="401"/>
        <n v="403"/>
        <n v="311"/>
        <n v="291"/>
        <n v="323"/>
        <n v="309"/>
        <n v="625"/>
        <n v="600"/>
        <n v="592"/>
        <n v="611"/>
        <n v="437"/>
        <n v="413"/>
        <n v="411"/>
        <n v="435"/>
        <n v="325"/>
        <n v="314"/>
        <n v="302"/>
        <n v="612"/>
        <n v="575"/>
        <n v="531"/>
        <n v="663"/>
        <n v="392"/>
        <n v="382"/>
        <n v="318"/>
        <n v="609"/>
        <n v="529"/>
        <n v="583"/>
        <n v="520"/>
        <n v="381"/>
        <n v="399"/>
        <n v="380"/>
        <n v="336"/>
        <n v="697"/>
        <n v="644"/>
        <n v="721"/>
        <n v="705"/>
        <n v="370"/>
        <n v="361"/>
        <n v="414"/>
        <n v="321"/>
        <n v="359"/>
        <n v="388"/>
        <n v="689"/>
        <n v="704"/>
        <n v="755"/>
        <n v="701"/>
        <n v="429"/>
        <n v="422"/>
        <n v="443"/>
        <n v="410"/>
        <n v="396"/>
        <n v="378"/>
        <n v="691"/>
        <n v="736"/>
        <n v="791"/>
        <n v="777"/>
        <n v="464"/>
        <n v="369"/>
        <n v="360"/>
        <n v="331"/>
        <n v="333"/>
        <n v="771"/>
        <n v="675"/>
        <n v="700"/>
        <n v="419"/>
        <n v="356"/>
        <n v="326"/>
        <n v="337"/>
        <n v="731"/>
        <n v="821"/>
        <n v="811"/>
        <n v="467"/>
        <n v="440"/>
        <n v="489"/>
        <n v="406"/>
        <n v="423"/>
        <n v="830"/>
        <n v="894"/>
        <n v="825"/>
        <n v="848"/>
        <n v="487"/>
        <n v="586"/>
        <n v="434"/>
        <n v="433"/>
        <n v="453"/>
        <n v="903"/>
      </sharedItems>
    </cacheField>
    <cacheField name="Sales" numFmtId="0">
      <sharedItems containsSemiMixedTypes="0" containsString="0" containsNumber="1" containsInteger="1" minValue="152" maxValue="895" count="117">
        <n v="322"/>
        <n v="285"/>
        <n v="245"/>
        <n v="212"/>
        <n v="289"/>
        <n v="174"/>
        <n v="200"/>
        <n v="152"/>
        <n v="214"/>
        <n v="314"/>
        <n v="400"/>
        <n v="374"/>
        <n v="344"/>
        <n v="300"/>
        <n v="323"/>
        <n v="292"/>
        <n v="280"/>
        <n v="225"/>
        <n v="165"/>
        <n v="191"/>
        <n v="243"/>
        <n v="523"/>
        <n v="520"/>
        <n v="565"/>
        <n v="403"/>
        <n v="334"/>
        <n v="350"/>
        <n v="291"/>
        <n v="236"/>
        <n v="262"/>
        <n v="278"/>
        <n v="423"/>
        <n v="569"/>
        <n v="580"/>
        <n v="591"/>
        <n v="404"/>
        <n v="414"/>
        <n v="375"/>
        <n v="391"/>
        <n v="304"/>
        <n v="221"/>
        <n v="603"/>
        <n v="614"/>
        <n v="584"/>
        <n v="590"/>
        <n v="412"/>
        <n v="397"/>
        <n v="313"/>
        <n v="309"/>
        <n v="301"/>
        <n v="621"/>
        <n v="530"/>
        <n v="503"/>
        <n v="651"/>
        <n v="380"/>
        <n v="308"/>
        <n v="343"/>
        <n v="522"/>
        <n v="574"/>
        <n v="512"/>
        <n v="356"/>
        <n v="389"/>
        <n v="369"/>
        <n v="312"/>
        <n v="674"/>
        <n v="700"/>
        <n v="348"/>
        <n v="409"/>
        <n v="303"/>
        <n v="377"/>
        <n v="398"/>
        <n v="664"/>
        <n v="681"/>
        <n v="734"/>
        <n v="689"/>
        <n v="421"/>
        <n v="401"/>
        <n v="383"/>
        <n v="386"/>
        <n v="673"/>
        <n v="721"/>
        <n v="771"/>
        <n v="786"/>
        <n v="434"/>
        <n v="311"/>
        <n v="195"/>
        <n v="256"/>
        <n v="270"/>
        <n v="260"/>
        <n v="281"/>
        <n v="531"/>
        <n v="537"/>
        <n v="514"/>
        <n v="578"/>
        <n v="500"/>
        <n v="405"/>
        <n v="336"/>
        <n v="354"/>
        <n v="717"/>
        <n v="665"/>
        <n v="809"/>
        <n v="829"/>
        <n v="511"/>
        <n v="439"/>
        <n v="382"/>
        <n v="420"/>
        <n v="408"/>
        <n v="843"/>
        <n v="858"/>
        <n v="823"/>
        <n v="836"/>
        <n v="477"/>
        <n v="430"/>
        <n v="419"/>
        <n v="431"/>
        <n v="451"/>
        <n v="895"/>
      </sharedItems>
    </cacheField>
    <cacheField name="Demand" numFmtId="0">
      <sharedItems containsSemiMixedTypes="0" containsString="0" containsNumber="1" minValue="178" maxValue="900" count="123">
        <n v="346"/>
        <n v="338"/>
        <n v="276"/>
        <n v="245"/>
        <n v="312"/>
        <n v="215"/>
        <n v="181"/>
        <n v="216"/>
        <n v="178"/>
        <n v="327"/>
        <n v="423"/>
        <n v="354"/>
        <n v="378"/>
        <n v="325"/>
        <n v="336"/>
        <n v="284"/>
        <n v="295"/>
        <n v="192"/>
        <n v="219"/>
        <n v="250"/>
        <n v="553"/>
        <n v="531"/>
        <n v="570"/>
        <n v="532"/>
        <n v="386"/>
        <n v="353"/>
        <n v="349"/>
        <n v="259"/>
        <n v="261"/>
        <n v="286"/>
        <n v="300"/>
        <n v="453"/>
        <n v="576"/>
        <n v="580"/>
        <n v="591"/>
        <n v="403"/>
        <n v="419"/>
        <n v="392"/>
        <n v="398"/>
        <n v="308"/>
        <n v="221"/>
        <n v="335"/>
        <n v="298"/>
        <n v="605"/>
        <n v="610"/>
        <n v="600"/>
        <n v="422"/>
        <n v="408"/>
        <n v="426"/>
        <n v="285"/>
        <n v="618"/>
        <n v="538"/>
        <n v="384.6"/>
        <n v="374.6"/>
        <n v="364.7"/>
        <n v="354.8"/>
        <n v="344.9"/>
        <n v="316"/>
        <n v="592"/>
        <n v="524"/>
        <n v="575"/>
        <n v="512"/>
        <n v="372"/>
        <n v="369"/>
        <n v="379"/>
        <n v="310"/>
        <n v="329"/>
        <n v="689"/>
        <n v="634"/>
        <n v="708"/>
        <n v="702"/>
        <n v="345"/>
        <n v="322"/>
        <n v="296"/>
        <n v="405"/>
        <n v="681"/>
        <n v="710"/>
        <n v="783"/>
        <n v="722"/>
        <n v="449"/>
        <n v="448"/>
        <n v="460"/>
        <n v="375"/>
        <n v="380"/>
        <n v="395"/>
        <n v="425"/>
        <n v="752"/>
        <n v="764"/>
        <n v="787"/>
        <n v="343"/>
        <n v="360"/>
        <n v="321"/>
        <n v="315"/>
        <n v="358"/>
        <n v="750"/>
        <n v="686"/>
        <n v="684"/>
        <n v="486"/>
        <n v="410"/>
        <n v="326"/>
        <n v="388"/>
        <n v="337"/>
        <n v="784"/>
        <n v="685"/>
        <n v="810"/>
        <n v="802"/>
        <n v="435"/>
        <n v="428"/>
        <n v="439"/>
        <n v="400"/>
        <n v="415"/>
        <n v="406"/>
        <n v="858"/>
        <n v="885"/>
        <n v="835"/>
        <n v="853"/>
        <n v="625"/>
        <n v="495"/>
        <n v="596"/>
        <n v="547"/>
        <n v="526"/>
        <n v="502"/>
        <n v="900"/>
      </sharedItems>
    </cacheField>
    <cacheField name="Population" numFmtId="0">
      <sharedItems containsSemiMixedTypes="0" containsString="0" containsNumber="1" minValue="122.4" maxValue="141.69999999999999" count="154">
        <n v="122.4"/>
        <n v="122.5"/>
        <n v="122.6"/>
        <n v="122.8"/>
        <n v="122.9"/>
        <n v="123.1"/>
        <n v="123.2"/>
        <n v="123.3"/>
        <n v="123.5"/>
        <n v="123.6"/>
        <n v="123.8"/>
        <n v="123.9"/>
        <n v="124.1"/>
        <n v="124.2"/>
        <n v="124.3"/>
        <n v="124.5"/>
        <n v="124.6"/>
        <n v="124.8"/>
        <n v="124.9"/>
        <n v="125.1"/>
        <n v="125.2"/>
        <n v="125.3"/>
        <n v="125.5"/>
        <n v="125.6"/>
        <n v="125.8"/>
        <n v="125.9"/>
        <n v="126"/>
        <n v="126.2"/>
        <n v="126.3"/>
        <n v="126.5"/>
        <n v="126.6"/>
        <n v="126.7"/>
        <n v="126.9"/>
        <n v="127"/>
        <n v="127.2"/>
        <n v="127.3"/>
        <n v="127.4"/>
        <n v="127.6"/>
        <n v="127.7"/>
        <n v="127.9"/>
        <n v="128"/>
        <n v="128.1"/>
        <n v="128.30000000000001"/>
        <n v="128.4"/>
        <n v="128.6"/>
        <n v="128.69999999999999"/>
        <n v="128.80000000000001"/>
        <n v="129"/>
        <n v="129.1"/>
        <n v="129.19999999999999"/>
        <n v="129.4"/>
        <n v="129.5"/>
        <n v="129.69999999999999"/>
        <n v="129.80000000000001"/>
        <n v="129.9"/>
        <n v="130.1"/>
        <n v="130.19999999999999"/>
        <n v="130.30000000000001"/>
        <n v="130.5"/>
        <n v="130.6"/>
        <n v="130.69999999999999"/>
        <n v="130.9"/>
        <n v="131"/>
        <n v="131.1"/>
        <n v="131.19999999999999"/>
        <n v="131.4"/>
        <n v="131.5"/>
        <n v="131.6"/>
        <n v="131.80000000000001"/>
        <n v="131.9"/>
        <n v="132"/>
        <n v="132.1"/>
        <n v="132.30000000000001"/>
        <n v="132.4"/>
        <n v="132.5"/>
        <n v="132.69999999999999"/>
        <n v="132.80000000000001"/>
        <n v="132.9"/>
        <n v="133.1"/>
        <n v="133.19999999999999"/>
        <n v="133.30000000000001"/>
        <n v="133.5"/>
        <n v="133.6"/>
        <n v="133.69999999999999"/>
        <n v="133.9"/>
        <n v="134"/>
        <n v="134.1"/>
        <n v="134.19999999999999"/>
        <n v="134.4"/>
        <n v="134.5"/>
        <n v="134.6"/>
        <n v="134.80000000000001"/>
        <n v="134.9"/>
        <n v="135"/>
        <n v="135.19999999999999"/>
        <n v="135.30000000000001"/>
        <n v="135.4"/>
        <n v="135.5"/>
        <n v="135.69999999999999"/>
        <n v="135.80000000000001"/>
        <n v="135.9"/>
        <n v="136"/>
        <n v="136.19999999999999"/>
        <n v="136.30000000000001"/>
        <n v="136.4"/>
        <n v="136.5"/>
        <n v="136.69999999999999"/>
        <n v="136.80000000000001"/>
        <n v="136.9"/>
        <n v="137"/>
        <n v="137.1"/>
        <n v="137.30000000000001"/>
        <n v="137.4"/>
        <n v="137.5"/>
        <n v="137.6"/>
        <n v="137.69999999999999"/>
        <n v="137.80000000000001"/>
        <n v="138"/>
        <n v="138.1"/>
        <n v="138.19999999999999"/>
        <n v="138.30000000000001"/>
        <n v="138.4"/>
        <n v="138.5"/>
        <n v="138.6"/>
        <n v="138.80000000000001"/>
        <n v="138.9"/>
        <n v="139"/>
        <n v="139.1"/>
        <n v="139.19999999999999"/>
        <n v="139.30000000000001"/>
        <n v="139.4"/>
        <n v="139.5"/>
        <n v="139.6"/>
        <n v="139.69999999999999"/>
        <n v="139.80000000000001"/>
        <n v="139.9"/>
        <n v="140"/>
        <n v="140.1"/>
        <n v="140.19999999999999"/>
        <n v="140.30000000000001"/>
        <n v="140.4"/>
        <n v="140.5"/>
        <n v="140.6"/>
        <n v="140.69999999999999"/>
        <n v="140.80000000000001"/>
        <n v="140.9"/>
        <n v="141"/>
        <n v="141.1"/>
        <n v="141.19999999999999"/>
        <n v="141.30000000000001"/>
        <n v="141.4"/>
        <n v="141.5"/>
        <n v="141.6"/>
        <n v="141.69999999999999"/>
      </sharedItems>
    </cacheField>
    <cacheField name="Gdp" numFmtId="0">
      <sharedItems containsSemiMixedTypes="0" containsString="0" containsNumber="1" minValue="131437.05300000001" maxValue="338282.98" count="155">
        <n v="182277"/>
        <n v="181018"/>
        <n v="179759"/>
        <n v="178500"/>
        <n v="177354"/>
        <n v="176208"/>
        <n v="175062"/>
        <n v="177418"/>
        <n v="179774"/>
        <n v="182130"/>
        <n v="187433"/>
        <n v="192736"/>
        <n v="198039"/>
        <n v="194285"/>
        <n v="190531"/>
        <n v="186777"/>
        <n v="188085"/>
        <n v="189393"/>
        <n v="190701"/>
        <n v="192375.33"/>
        <n v="194049.66"/>
        <n v="195723.99"/>
        <n v="198526.99"/>
        <n v="201329.99"/>
        <n v="204132.99"/>
        <n v="199377.32"/>
        <n v="194621.65"/>
        <n v="189865.98"/>
        <n v="188622.98"/>
        <n v="187379.98"/>
        <n v="186136.98"/>
        <n v="188780.98"/>
        <n v="191424.98"/>
        <n v="194068.98"/>
        <n v="199371.98"/>
        <n v="204674.98"/>
        <n v="209977.98"/>
        <n v="206223.98"/>
        <n v="202469.98"/>
        <n v="198715.98"/>
        <n v="197296.65"/>
        <n v="195877.32"/>
        <n v="194457.99"/>
        <n v="195795.32"/>
        <n v="197132.65"/>
        <n v="198469.98"/>
        <n v="202022.31"/>
        <n v="205574.64"/>
        <n v="209126.97"/>
        <n v="209277.64"/>
        <n v="209428.31"/>
        <n v="209578.98"/>
        <n v="208023.31"/>
        <n v="206467.64"/>
        <n v="204911.97"/>
        <n v="205460.63699999999"/>
        <n v="206009.304"/>
        <n v="206557.97099999999"/>
        <n v="209098.63800000001"/>
        <n v="211639.30499999999"/>
        <n v="214179.97200000001"/>
        <n v="215537.639"/>
        <n v="216895.30600000001"/>
        <n v="218252.973"/>
        <n v="214098.64300000001"/>
        <n v="209944.31299999999"/>
        <n v="205789.98300000001"/>
        <n v="209342.98300000001"/>
        <n v="212895.98300000001"/>
        <n v="216448.98300000001"/>
        <n v="219246.98300000001"/>
        <n v="222044.98300000001"/>
        <n v="224842.98300000001"/>
        <n v="228075.65"/>
        <n v="231308.31700000001"/>
        <n v="234540.984"/>
        <n v="230641.984"/>
        <n v="226742.984"/>
        <n v="222843.984"/>
        <n v="226038.31700000001"/>
        <n v="229232.65"/>
        <n v="232426.98300000001"/>
        <n v="230495.31299999999"/>
        <n v="228563.64300000001"/>
        <n v="226631.973"/>
        <n v="229554.973"/>
        <n v="232477.973"/>
        <n v="235400.973"/>
        <n v="232482.973"/>
        <n v="229564.973"/>
        <n v="226646.973"/>
        <n v="232428.30300000001"/>
        <n v="238209.633"/>
        <n v="243990.96299999999"/>
        <n v="248749.296"/>
        <n v="253507.62899999999"/>
        <n v="258265.962"/>
        <n v="255961.962"/>
        <n v="253657.962"/>
        <n v="251353.962"/>
        <n v="247308.962"/>
        <n v="243263.962"/>
        <n v="239218.962"/>
        <n v="246475.29500000001"/>
        <n v="253731.628"/>
        <n v="260987.96100000001"/>
        <n v="265734.62800000003"/>
        <n v="270481.29499999998"/>
        <n v="275227.962"/>
        <n v="270061.29200000002"/>
        <n v="264894.62199999997"/>
        <n v="259727.95199999999"/>
        <n v="253415.95199999999"/>
        <n v="247103.95199999999"/>
        <n v="240791.95199999999"/>
        <n v="246430.61900000001"/>
        <n v="252069.28599999999"/>
        <n v="257707.95300000001"/>
        <n v="265288.95299999998"/>
        <n v="272869.95299999998"/>
        <n v="280450.95299999998"/>
        <n v="230779.65299999999"/>
        <n v="181108.353"/>
        <n v="131437.05300000001"/>
        <n v="162590.383"/>
        <n v="193743.71299999999"/>
        <n v="224897.04300000001"/>
        <n v="241515.37299999999"/>
        <n v="258133.70300000001"/>
        <n v="274752.033"/>
        <n v="293751.033"/>
        <n v="312750.033"/>
        <n v="331749.033"/>
        <n v="296221.43300000002"/>
        <n v="260693.83300000001"/>
        <n v="225166"/>
        <n v="231134.33"/>
        <n v="237102.66"/>
        <n v="243070.99"/>
        <n v="251071.99"/>
        <n v="259072.99"/>
        <n v="267073.99"/>
        <n v="290810.32"/>
        <n v="314546.65000000002"/>
        <n v="338282.98"/>
        <n v="313161.38"/>
        <n v="288039.67999999999"/>
        <n v="262917.98"/>
        <n v="261644.65"/>
        <n v="260371.32"/>
        <n v="259097.99"/>
        <n v="257824.66"/>
        <n v="256551.33"/>
        <n v="255278"/>
        <n v="254004.67"/>
      </sharedItems>
    </cacheField>
    <cacheField name="Disbursement" numFmtId="0">
      <sharedItems containsSemiMixedTypes="0" containsString="0" containsNumber="1" minValue="60314" maxValue="236163.04"/>
    </cacheField>
    <cacheField name="Interest Rate" numFmtId="0">
      <sharedItems containsSemiMixedTypes="0" containsString="0" containsNumber="1" minValue="7" maxValue="13.25"/>
    </cacheField>
  </cacheFields>
  <extLst>
    <ext xmlns:x14="http://schemas.microsoft.com/office/spreadsheetml/2009/9/main" uri="{725AE2AE-9491-48be-B2B4-4EB974FC3084}">
      <x14:pivotCacheDefinition pivotCacheId="15370840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5.487304745373" createdVersion="7" refreshedVersion="7" minRefreshableVersion="3" recordCount="155" xr:uid="{92CFA938-BF8B-4A6B-A19F-E9B57B91516B}">
  <cacheSource type="worksheet">
    <worksheetSource name="Table13"/>
  </cacheSource>
  <cacheFields count="9">
    <cacheField name="Month" numFmtId="16">
      <sharedItems containsSemiMixedTypes="0" containsNonDate="0" containsDate="1" containsString="0" minDate="2025-01-10T00:00:00" maxDate="2025-12-22T00:00:00" count="155">
        <d v="2025-01-10T00:00:00"/>
        <d v="2025-01-11T00:00:00"/>
        <d v="2025-01-12T00:00:00"/>
        <d v="2025-01-13T00:00:00"/>
        <d v="2025-01-14T00:00:00"/>
        <d v="2025-01-15T00:00:00"/>
        <d v="2025-01-16T00:00:00"/>
        <d v="2025-01-17T00:00:00"/>
        <d v="2025-01-18T00:00:00"/>
        <d v="2025-01-19T00:00:00"/>
        <d v="2025-01-20T00:00:00"/>
        <d v="2025-01-21T00:00:00"/>
        <d v="2025-01-22T00:00:00"/>
        <d v="2025-02-10T00:00:00"/>
        <d v="2025-02-11T00:00:00"/>
        <d v="2025-02-12T00:00:00"/>
        <d v="2025-02-13T00:00:00"/>
        <d v="2025-02-14T00:00:00"/>
        <d v="2025-02-15T00:00:00"/>
        <d v="2025-02-16T00:00:00"/>
        <d v="2025-02-17T00:00:00"/>
        <d v="2025-02-18T00:00:00"/>
        <d v="2025-02-19T00:00:00"/>
        <d v="2025-02-20T00:00:00"/>
        <d v="2025-02-21T00:00:00"/>
        <d v="2025-02-22T00:00:00"/>
        <d v="2025-03-10T00:00:00"/>
        <d v="2025-03-11T00:00:00"/>
        <d v="2025-03-12T00:00:00"/>
        <d v="2025-03-13T00:00:00"/>
        <d v="2025-03-14T00:00:00"/>
        <d v="2025-03-15T00:00:00"/>
        <d v="2025-03-16T00:00:00"/>
        <d v="2025-03-17T00:00:00"/>
        <d v="2025-03-18T00:00:00"/>
        <d v="2025-03-19T00:00:00"/>
        <d v="2025-03-20T00:00:00"/>
        <d v="2025-03-21T00:00:00"/>
        <d v="2025-03-22T00:00:00"/>
        <d v="2025-04-10T00:00:00"/>
        <d v="2025-04-11T00:00:00"/>
        <d v="2025-04-12T00:00:00"/>
        <d v="2025-04-13T00:00:00"/>
        <d v="2025-04-14T00:00:00"/>
        <d v="2025-04-15T00:00:00"/>
        <d v="2025-04-16T00:00:00"/>
        <d v="2025-04-17T00:00:00"/>
        <d v="2025-04-18T00:00:00"/>
        <d v="2025-04-19T00:00:00"/>
        <d v="2025-04-20T00:00:00"/>
        <d v="2025-04-21T00:00:00"/>
        <d v="2025-04-22T00:00:00"/>
        <d v="2025-05-10T00:00:00"/>
        <d v="2025-05-11T00:00:00"/>
        <d v="2025-05-12T00:00:00"/>
        <d v="2025-05-13T00:00:00"/>
        <d v="2025-05-14T00:00:00"/>
        <d v="2025-05-15T00:00:00"/>
        <d v="2025-05-16T00:00:00"/>
        <d v="2025-05-17T00:00:00"/>
        <d v="2025-05-18T00:00:00"/>
        <d v="2025-05-19T00:00:00"/>
        <d v="2025-05-20T00:00:00"/>
        <d v="2025-05-21T00:00:00"/>
        <d v="2025-05-22T00:00:00"/>
        <d v="2025-06-10T00:00:00"/>
        <d v="2025-06-11T00:00:00"/>
        <d v="2025-06-12T00:00:00"/>
        <d v="2025-06-13T00:00:00"/>
        <d v="2025-06-14T00:00:00"/>
        <d v="2025-06-15T00:00:00"/>
        <d v="2025-06-16T00:00:00"/>
        <d v="2025-06-17T00:00:00"/>
        <d v="2025-06-18T00:00:00"/>
        <d v="2025-06-19T00:00:00"/>
        <d v="2025-06-20T00:00:00"/>
        <d v="2025-06-21T00:00:00"/>
        <d v="2025-06-22T00:00:00"/>
        <d v="2025-07-10T00:00:00"/>
        <d v="2025-07-11T00:00:00"/>
        <d v="2025-07-12T00:00:00"/>
        <d v="2025-07-13T00:00:00"/>
        <d v="2025-07-14T00:00:00"/>
        <d v="2025-07-15T00:00:00"/>
        <d v="2025-07-16T00:00:00"/>
        <d v="2025-07-17T00:00:00"/>
        <d v="2025-07-18T00:00:00"/>
        <d v="2025-07-19T00:00:00"/>
        <d v="2025-07-20T00:00:00"/>
        <d v="2025-07-21T00:00:00"/>
        <d v="2025-07-22T00:00:00"/>
        <d v="2025-08-10T00:00:00"/>
        <d v="2025-08-11T00:00:00"/>
        <d v="2025-08-12T00:00:00"/>
        <d v="2025-08-13T00:00:00"/>
        <d v="2025-08-14T00:00:00"/>
        <d v="2025-08-15T00:00:00"/>
        <d v="2025-08-16T00:00:00"/>
        <d v="2025-08-17T00:00:00"/>
        <d v="2025-08-18T00:00:00"/>
        <d v="2025-08-19T00:00:00"/>
        <d v="2025-08-20T00:00:00"/>
        <d v="2025-08-21T00:00:00"/>
        <d v="2025-08-22T00:00:00"/>
        <d v="2025-09-10T00:00:00"/>
        <d v="2025-09-11T00:00:00"/>
        <d v="2025-09-12T00:00:00"/>
        <d v="2025-09-13T00:00:00"/>
        <d v="2025-09-14T00:00:00"/>
        <d v="2025-09-15T00:00:00"/>
        <d v="2025-09-16T00:00:00"/>
        <d v="2025-09-17T00:00:00"/>
        <d v="2025-09-18T00:00:00"/>
        <d v="2025-09-19T00:00:00"/>
        <d v="2025-09-20T00:00:00"/>
        <d v="2025-09-21T00:00:00"/>
        <d v="2025-09-22T00:00:00"/>
        <d v="2025-10-10T00:00:00"/>
        <d v="2025-10-11T00:00:00"/>
        <d v="2025-10-12T00:00:00"/>
        <d v="2025-10-13T00:00:00"/>
        <d v="2025-10-14T00:00:00"/>
        <d v="2025-10-15T00:00:00"/>
        <d v="2025-10-16T00:00:00"/>
        <d v="2025-10-17T00:00:00"/>
        <d v="2025-10-18T00:00:00"/>
        <d v="2025-10-19T00:00:00"/>
        <d v="2025-10-20T00:00:00"/>
        <d v="2025-10-21T00:00:00"/>
        <d v="2025-10-22T00:00:00"/>
        <d v="2025-11-10T00:00:00"/>
        <d v="2025-11-11T00:00:00"/>
        <d v="2025-11-12T00:00:00"/>
        <d v="2025-11-13T00:00:00"/>
        <d v="2025-11-14T00:00:00"/>
        <d v="2025-11-15T00:00:00"/>
        <d v="2025-11-16T00:00:00"/>
        <d v="2025-11-17T00:00:00"/>
        <d v="2025-11-18T00:00:00"/>
        <d v="2025-11-19T00:00:00"/>
        <d v="2025-11-20T00:00:00"/>
        <d v="2025-11-21T00:00:00"/>
        <d v="2025-11-22T00:00:00"/>
        <d v="2025-12-10T00:00:00"/>
        <d v="2025-12-11T00:00:00"/>
        <d v="2025-12-12T00:00:00"/>
        <d v="2025-12-13T00:00:00"/>
        <d v="2025-12-14T00:00:00"/>
        <d v="2025-12-15T00:00:00"/>
        <d v="2025-12-16T00:00:00"/>
        <d v="2025-12-17T00:00:00"/>
        <d v="2025-12-18T00:00:00"/>
        <d v="2025-12-19T00:00:00"/>
        <d v="2025-12-20T00:00:00"/>
        <d v="2025-12-21T00:00:00"/>
      </sharedItems>
      <fieldGroup par="8" base="0">
        <rangePr groupBy="days" startDate="2025-01-10T00:00:00" endDate="2025-12-22T00:00:00"/>
        <groupItems count="368">
          <s v="&lt;1/10/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2025"/>
        </groupItems>
      </fieldGroup>
    </cacheField>
    <cacheField name="Production" numFmtId="0">
      <sharedItems containsSemiMixedTypes="0" containsString="0" containsNumber="1" containsInteger="1" minValue="169" maxValue="903"/>
    </cacheField>
    <cacheField name="Sales" numFmtId="0">
      <sharedItems containsSemiMixedTypes="0" containsString="0" containsNumber="1" containsInteger="1" minValue="152" maxValue="895"/>
    </cacheField>
    <cacheField name="Demand" numFmtId="0">
      <sharedItems containsSemiMixedTypes="0" containsString="0" containsNumber="1" minValue="178" maxValue="900" count="123">
        <n v="346"/>
        <n v="354"/>
        <n v="570"/>
        <n v="580"/>
        <n v="600"/>
        <n v="531"/>
        <n v="575"/>
        <n v="708"/>
        <n v="783"/>
        <n v="764"/>
        <n v="686"/>
        <n v="810"/>
        <n v="835"/>
        <n v="338"/>
        <n v="378"/>
        <n v="532"/>
        <n v="591"/>
        <n v="384.6"/>
        <n v="512"/>
        <n v="702"/>
        <n v="722"/>
        <n v="787"/>
        <n v="684"/>
        <n v="802"/>
        <n v="853"/>
        <n v="276"/>
        <n v="325"/>
        <n v="386"/>
        <n v="403"/>
        <n v="422"/>
        <n v="374.6"/>
        <n v="372"/>
        <n v="449"/>
        <n v="343"/>
        <n v="486"/>
        <n v="524"/>
        <n v="625"/>
        <n v="245"/>
        <n v="336"/>
        <n v="353"/>
        <n v="419"/>
        <n v="408"/>
        <n v="364.7"/>
        <n v="369"/>
        <n v="345"/>
        <n v="448"/>
        <n v="453"/>
        <n v="435"/>
        <n v="495"/>
        <n v="312"/>
        <n v="284"/>
        <n v="349"/>
        <n v="392"/>
        <n v="398"/>
        <n v="354.8"/>
        <n v="322"/>
        <n v="460"/>
        <n v="405"/>
        <n v="428"/>
        <n v="596"/>
        <n v="215"/>
        <n v="295"/>
        <n v="426"/>
        <n v="344.9"/>
        <n v="360"/>
        <n v="410"/>
        <n v="439"/>
        <n v="685"/>
        <n v="181"/>
        <n v="259"/>
        <n v="308"/>
        <n v="335"/>
        <n v="379"/>
        <n v="375"/>
        <n v="310"/>
        <n v="400"/>
        <n v="547"/>
        <n v="216"/>
        <n v="192"/>
        <n v="261"/>
        <n v="221"/>
        <n v="296"/>
        <n v="380"/>
        <n v="321"/>
        <n v="326"/>
        <n v="395"/>
        <n v="526"/>
        <n v="178"/>
        <n v="219"/>
        <n v="286"/>
        <n v="298"/>
        <n v="329"/>
        <n v="315"/>
        <n v="388"/>
        <n v="415"/>
        <n v="502"/>
        <n v="250"/>
        <n v="300"/>
        <n v="285"/>
        <n v="316"/>
        <n v="425"/>
        <n v="358"/>
        <n v="337"/>
        <n v="406"/>
        <n v="327"/>
        <n v="553"/>
        <n v="605"/>
        <n v="618"/>
        <n v="592"/>
        <n v="689"/>
        <n v="681"/>
        <n v="750"/>
        <n v="784"/>
        <n v="858"/>
        <n v="900"/>
        <n v="423"/>
        <n v="576"/>
        <n v="610"/>
        <n v="538"/>
        <n v="634"/>
        <n v="710"/>
        <n v="752"/>
        <n v="885"/>
      </sharedItems>
    </cacheField>
    <cacheField name="Population" numFmtId="0">
      <sharedItems containsSemiMixedTypes="0" containsString="0" containsNumber="1" minValue="122.4" maxValue="141.69999999999999"/>
    </cacheField>
    <cacheField name="Gdp" numFmtId="0">
      <sharedItems containsSemiMixedTypes="0" containsString="0" containsNumber="1" minValue="131437.05300000001" maxValue="338282.98" count="155">
        <n v="182277"/>
        <n v="198039"/>
        <n v="204132.99"/>
        <n v="209977.98"/>
        <n v="209126.97"/>
        <n v="214179.97200000001"/>
        <n v="224842.98300000001"/>
        <n v="226631.973"/>
        <n v="258265.962"/>
        <n v="275227.962"/>
        <n v="280450.95299999998"/>
        <n v="331749.033"/>
        <n v="338282.98"/>
        <n v="181018"/>
        <n v="194285"/>
        <n v="199377.32"/>
        <n v="206223.98"/>
        <n v="209277.64"/>
        <n v="215537.639"/>
        <n v="228075.65"/>
        <n v="229554.973"/>
        <n v="255961.962"/>
        <n v="270061.29200000002"/>
        <n v="230779.65299999999"/>
        <n v="296221.43300000002"/>
        <n v="313161.38"/>
        <n v="179759"/>
        <n v="190531"/>
        <n v="194621.65"/>
        <n v="202469.98"/>
        <n v="209428.31"/>
        <n v="216895.30600000001"/>
        <n v="231308.31700000001"/>
        <n v="232477.973"/>
        <n v="253657.962"/>
        <n v="264894.62199999997"/>
        <n v="181108.353"/>
        <n v="260693.83300000001"/>
        <n v="288039.67999999999"/>
        <n v="178500"/>
        <n v="186777"/>
        <n v="189865.98"/>
        <n v="198715.98"/>
        <n v="209578.98"/>
        <n v="218252.973"/>
        <n v="234540.984"/>
        <n v="235400.973"/>
        <n v="251353.962"/>
        <n v="259727.95199999999"/>
        <n v="131437.05300000001"/>
        <n v="225166"/>
        <n v="262917.98"/>
        <n v="177354"/>
        <n v="188085"/>
        <n v="188622.98"/>
        <n v="197296.65"/>
        <n v="208023.31"/>
        <n v="214098.64300000001"/>
        <n v="230641.984"/>
        <n v="232482.973"/>
        <n v="247308.962"/>
        <n v="253415.95199999999"/>
        <n v="162590.383"/>
        <n v="231134.33"/>
        <n v="261644.65"/>
        <n v="176208"/>
        <n v="189393"/>
        <n v="187379.98"/>
        <n v="195877.32"/>
        <n v="206467.64"/>
        <n v="209944.31299999999"/>
        <n v="226742.984"/>
        <n v="229564.973"/>
        <n v="243263.962"/>
        <n v="247103.95199999999"/>
        <n v="193743.71299999999"/>
        <n v="237102.66"/>
        <n v="260371.32"/>
        <n v="175062"/>
        <n v="190701"/>
        <n v="186136.98"/>
        <n v="194457.99"/>
        <n v="204911.97"/>
        <n v="205789.98300000001"/>
        <n v="222843.984"/>
        <n v="226646.973"/>
        <n v="239218.962"/>
        <n v="240791.95199999999"/>
        <n v="224897.04300000001"/>
        <n v="243070.99"/>
        <n v="259097.99"/>
        <n v="177418"/>
        <n v="192375.33"/>
        <n v="188780.98"/>
        <n v="195795.32"/>
        <n v="205460.63699999999"/>
        <n v="209342.98300000001"/>
        <n v="226038.31700000001"/>
        <n v="232428.30300000001"/>
        <n v="246475.29500000001"/>
        <n v="246430.61900000001"/>
        <n v="241515.37299999999"/>
        <n v="251071.99"/>
        <n v="257824.66"/>
        <n v="179774"/>
        <n v="194049.66"/>
        <n v="191424.98"/>
        <n v="197132.65"/>
        <n v="206009.304"/>
        <n v="212895.98300000001"/>
        <n v="229232.65"/>
        <n v="238209.633"/>
        <n v="253731.628"/>
        <n v="252069.28599999999"/>
        <n v="258133.70300000001"/>
        <n v="259072.99"/>
        <n v="256551.33"/>
        <n v="182130"/>
        <n v="195723.99"/>
        <n v="194068.98"/>
        <n v="198469.98"/>
        <n v="206557.97099999999"/>
        <n v="216448.98300000001"/>
        <n v="232426.98300000001"/>
        <n v="243990.96299999999"/>
        <n v="260987.96100000001"/>
        <n v="257707.95300000001"/>
        <n v="274752.033"/>
        <n v="267073.99"/>
        <n v="255278"/>
        <n v="187433"/>
        <n v="198526.99"/>
        <n v="199371.98"/>
        <n v="202022.31"/>
        <n v="209098.63800000001"/>
        <n v="219246.98300000001"/>
        <n v="230495.31299999999"/>
        <n v="248749.296"/>
        <n v="265734.62800000003"/>
        <n v="265288.95299999998"/>
        <n v="293751.033"/>
        <n v="290810.32"/>
        <n v="254004.67"/>
        <n v="192736"/>
        <n v="201329.99"/>
        <n v="204674.98"/>
        <n v="205574.64"/>
        <n v="211639.30499999999"/>
        <n v="222044.98300000001"/>
        <n v="228563.64300000001"/>
        <n v="253507.62899999999"/>
        <n v="270481.29499999998"/>
        <n v="272869.95299999998"/>
        <n v="312750.033"/>
        <n v="314546.65000000002"/>
      </sharedItems>
    </cacheField>
    <cacheField name="Disbursement" numFmtId="0">
      <sharedItems containsSemiMixedTypes="0" containsString="0" containsNumber="1" minValue="60314" maxValue="236163.04" count="153">
        <n v="60314"/>
        <n v="71113"/>
        <n v="82452"/>
        <n v="92455"/>
        <n v="105780"/>
        <n v="110374"/>
        <n v="145384"/>
        <n v="171227"/>
        <n v="151837.04"/>
        <n v="150337"/>
        <n v="152902"/>
        <n v="190710"/>
        <n v="215502.57"/>
        <n v="61213.919999999998"/>
        <n v="72057.919999999998"/>
        <n v="83285.58"/>
        <n v="93565.42"/>
        <n v="106162.84"/>
        <n v="113291.5"/>
        <n v="147537.57999999999"/>
        <n v="169611.17"/>
        <n v="151712.04"/>
        <n v="150550.75"/>
        <n v="156052.67000000001"/>
        <n v="192776.05"/>
        <n v="217568.62"/>
        <n v="62113.83"/>
        <n v="73002.83"/>
        <n v="84119.17"/>
        <n v="94675.83"/>
        <n v="106545.67"/>
        <n v="116209"/>
        <n v="149691.17000000001"/>
        <n v="167995.34"/>
        <n v="151587.04"/>
        <n v="150764.5"/>
        <n v="159203.32999999999"/>
        <n v="194842.1"/>
        <n v="219634.66"/>
        <n v="63013.75"/>
        <n v="73947.75"/>
        <n v="84952.75"/>
        <n v="95786.25"/>
        <n v="119126.5"/>
        <n v="151844.75"/>
        <n v="166379.51"/>
        <n v="150978.25"/>
        <n v="162354"/>
        <n v="196908.15"/>
        <n v="221700.71"/>
        <n v="63913.67"/>
        <n v="74892.67"/>
        <n v="85786.33"/>
        <n v="96896.67"/>
        <n v="106928.5"/>
        <n v="122044"/>
        <n v="153998.32999999999"/>
        <n v="164763.68"/>
        <n v="151462.04"/>
        <n v="151192"/>
        <n v="165504.67000000001"/>
        <n v="198974.19"/>
        <n v="223766.76"/>
        <n v="64813.58"/>
        <n v="75837.58"/>
        <n v="86619.92"/>
        <n v="98007.09"/>
        <n v="107311.34"/>
        <n v="124961.5"/>
        <n v="156151.92000000001"/>
        <n v="163147.85"/>
        <n v="151337.04"/>
        <n v="151405.75"/>
        <n v="168655.34"/>
        <n v="201040.24"/>
        <n v="225832.8"/>
        <n v="65713.5"/>
        <n v="76782.5"/>
        <n v="87453.5"/>
        <n v="99117.5"/>
        <n v="107694.17"/>
        <n v="127879"/>
        <n v="158305.5"/>
        <n v="161532.01999999999"/>
        <n v="151212.04"/>
        <n v="151619.5"/>
        <n v="171806"/>
        <n v="203106.29"/>
        <n v="227898.85"/>
        <n v="66613.42"/>
        <n v="77727.42"/>
        <n v="88287.08"/>
        <n v="100227.92"/>
        <n v="108077"/>
        <n v="130796.5"/>
        <n v="160459.07999999999"/>
        <n v="159916.19"/>
        <n v="151087.04000000001"/>
        <n v="151833.25"/>
        <n v="174956.67"/>
        <n v="205172.33"/>
        <n v="229964.9"/>
        <n v="67513.33"/>
        <n v="78672.33"/>
        <n v="89120.67"/>
        <n v="101338.34"/>
        <n v="108459.84"/>
        <n v="133714"/>
        <n v="162612.66"/>
        <n v="158300.35999999999"/>
        <n v="150962.04"/>
        <n v="152047"/>
        <n v="178107.34"/>
        <n v="207238.38"/>
        <n v="232030.94"/>
        <n v="68413.25"/>
        <n v="79617.25"/>
        <n v="89954.25"/>
        <n v="102448.75"/>
        <n v="108842.67"/>
        <n v="136631.5"/>
        <n v="164766.25"/>
        <n v="156684.53"/>
        <n v="150837.04"/>
        <n v="152260.75"/>
        <n v="181258"/>
        <n v="209304.43"/>
        <n v="234096.99"/>
        <n v="69313.17"/>
        <n v="80562.17"/>
        <n v="90787.83"/>
        <n v="103559.17"/>
        <n v="109225.5"/>
        <n v="139549"/>
        <n v="166919.82999999999"/>
        <n v="155068.70000000001"/>
        <n v="150712.04"/>
        <n v="152474.5"/>
        <n v="184408.67"/>
        <n v="211370.47"/>
        <n v="236163.04"/>
        <n v="70213.08"/>
        <n v="81507.08"/>
        <n v="91621.42"/>
        <n v="104669.59"/>
        <n v="109608.34"/>
        <n v="142466.5"/>
        <n v="169073.41"/>
        <n v="153452.87"/>
        <n v="150587.04"/>
        <n v="152688.25"/>
        <n v="187559.34"/>
        <n v="213436.52"/>
      </sharedItems>
    </cacheField>
    <cacheField name="Interest Rate" numFmtId="0">
      <sharedItems containsSemiMixedTypes="0" containsString="0" containsNumber="1" minValue="7" maxValue="13.25" count="139">
        <n v="10.25"/>
        <n v="11.25"/>
        <n v="13.25"/>
        <n v="11"/>
        <n v="10.220000000000001"/>
        <n v="9.4"/>
        <n v="9"/>
        <n v="8.5"/>
        <n v="8"/>
        <n v="7"/>
        <n v="7.6"/>
        <n v="8.1"/>
        <n v="10.33"/>
        <n v="11.42"/>
        <n v="13.06"/>
        <n v="10.94"/>
        <n v="10.15"/>
        <n v="9.3699999999999992"/>
        <n v="8.9600000000000009"/>
        <n v="8.4600000000000009"/>
        <n v="7.92"/>
        <n v="7.05"/>
        <n v="7.64"/>
        <n v="8.14"/>
        <n v="10.42"/>
        <n v="11.58"/>
        <n v="12.88"/>
        <n v="10.88"/>
        <n v="10.24"/>
        <n v="10.08"/>
        <n v="9.33"/>
        <n v="8.92"/>
        <n v="8.42"/>
        <n v="7.83"/>
        <n v="7.1"/>
        <n v="7.68"/>
        <n v="8.18"/>
        <n v="10.5"/>
        <n v="11.75"/>
        <n v="12.69"/>
        <n v="10.81"/>
        <n v="10.01"/>
        <n v="9.3000000000000007"/>
        <n v="8.8699999999999992"/>
        <n v="8.3699999999999992"/>
        <n v="7.75"/>
        <n v="7.15"/>
        <n v="7.73"/>
        <n v="8.23"/>
        <n v="10.58"/>
        <n v="11.92"/>
        <n v="12.5"/>
        <n v="10.75"/>
        <n v="9.94"/>
        <n v="9.27"/>
        <n v="8.83"/>
        <n v="8.33"/>
        <n v="7.67"/>
        <n v="7.2"/>
        <n v="7.77"/>
        <n v="8.27"/>
        <n v="10.67"/>
        <n v="12.08"/>
        <n v="12.31"/>
        <n v="10.69"/>
        <n v="9.8800000000000008"/>
        <n v="9.23"/>
        <n v="8.7899999999999991"/>
        <n v="8.2899999999999991"/>
        <n v="7.58"/>
        <n v="7.25"/>
        <n v="7.81"/>
        <n v="8.31"/>
        <n v="12.25"/>
        <n v="12.13"/>
        <n v="10.63"/>
        <n v="10.23"/>
        <n v="9.81"/>
        <n v="9.1999999999999993"/>
        <n v="8.75"/>
        <n v="8.25"/>
        <n v="7.5"/>
        <n v="7.3"/>
        <n v="7.85"/>
        <n v="8.35"/>
        <n v="10.83"/>
        <n v="12.42"/>
        <n v="11.94"/>
        <n v="10.56"/>
        <n v="9.74"/>
        <n v="9.17"/>
        <n v="8.7100000000000009"/>
        <n v="8.2100000000000009"/>
        <n v="7.42"/>
        <n v="7.35"/>
        <n v="7.89"/>
        <n v="8.39"/>
        <n v="10.92"/>
        <n v="12.58"/>
        <n v="9.67"/>
        <n v="9.1300000000000008"/>
        <n v="8.67"/>
        <n v="8.17"/>
        <n v="7.33"/>
        <n v="7.4"/>
        <n v="7.93"/>
        <n v="8.43"/>
        <n v="12.75"/>
        <n v="11.56"/>
        <n v="10.44"/>
        <n v="9.6"/>
        <n v="9.1"/>
        <n v="8.6199999999999992"/>
        <n v="8.1199999999999992"/>
        <n v="7.45"/>
        <n v="7.98"/>
        <n v="8.48"/>
        <n v="11.08"/>
        <n v="12.92"/>
        <n v="11.38"/>
        <n v="10.38"/>
        <n v="9.5399999999999991"/>
        <n v="9.07"/>
        <n v="8.58"/>
        <n v="8.08"/>
        <n v="7.17"/>
        <n v="8.02"/>
        <n v="8.6"/>
        <n v="11.17"/>
        <n v="13.08"/>
        <n v="11.19"/>
        <n v="10.31"/>
        <n v="9.4700000000000006"/>
        <n v="9.0299999999999994"/>
        <n v="8.5399999999999991"/>
        <n v="8.0399999999999991"/>
        <n v="7.08"/>
        <n v="7.55"/>
        <n v="8.06"/>
      </sharedItems>
    </cacheField>
    <cacheField name="Months" numFmtId="0" databaseField="0">
      <fieldGroup base="0">
        <rangePr groupBy="months" startDate="2025-01-10T00:00:00" endDate="2025-12-22T00:00:00"/>
        <groupItems count="14">
          <s v="&lt;1/10/2025"/>
          <s v="Jan"/>
          <s v="Feb"/>
          <s v="Mar"/>
          <s v="Apr"/>
          <s v="May"/>
          <s v="Jun"/>
          <s v="Jul"/>
          <s v="Aug"/>
          <s v="Sep"/>
          <s v="Oct"/>
          <s v="Nov"/>
          <s v="Dec"/>
          <s v="&gt;12/22/2025"/>
        </groupItems>
      </fieldGroup>
    </cacheField>
  </cacheFields>
  <extLst>
    <ext xmlns:x14="http://schemas.microsoft.com/office/spreadsheetml/2009/9/main" uri="{725AE2AE-9491-48be-B2B4-4EB974FC3084}">
      <x14:pivotCacheDefinition pivotCacheId="1639521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x v="0"/>
    <x v="0"/>
    <n v="60314"/>
    <n v="10.25"/>
  </r>
  <r>
    <x v="1"/>
    <x v="1"/>
    <x v="1"/>
    <x v="1"/>
    <x v="1"/>
    <x v="1"/>
    <x v="1"/>
    <n v="61213.919999999998"/>
    <n v="10.33"/>
  </r>
  <r>
    <x v="2"/>
    <x v="1"/>
    <x v="2"/>
    <x v="2"/>
    <x v="2"/>
    <x v="2"/>
    <x v="2"/>
    <n v="62113.83"/>
    <n v="10.42"/>
  </r>
  <r>
    <x v="3"/>
    <x v="1"/>
    <x v="3"/>
    <x v="3"/>
    <x v="3"/>
    <x v="3"/>
    <x v="3"/>
    <n v="63013.75"/>
    <n v="10.5"/>
  </r>
  <r>
    <x v="4"/>
    <x v="1"/>
    <x v="4"/>
    <x v="4"/>
    <x v="4"/>
    <x v="4"/>
    <x v="4"/>
    <n v="63913.67"/>
    <n v="10.58"/>
  </r>
  <r>
    <x v="5"/>
    <x v="1"/>
    <x v="5"/>
    <x v="3"/>
    <x v="5"/>
    <x v="5"/>
    <x v="5"/>
    <n v="64813.58"/>
    <n v="10.67"/>
  </r>
  <r>
    <x v="6"/>
    <x v="1"/>
    <x v="6"/>
    <x v="5"/>
    <x v="6"/>
    <x v="6"/>
    <x v="6"/>
    <n v="65713.5"/>
    <n v="10.75"/>
  </r>
  <r>
    <x v="7"/>
    <x v="1"/>
    <x v="7"/>
    <x v="6"/>
    <x v="7"/>
    <x v="7"/>
    <x v="7"/>
    <n v="66613.42"/>
    <n v="10.83"/>
  </r>
  <r>
    <x v="8"/>
    <x v="1"/>
    <x v="8"/>
    <x v="7"/>
    <x v="8"/>
    <x v="8"/>
    <x v="8"/>
    <n v="67513.33"/>
    <n v="10.92"/>
  </r>
  <r>
    <x v="9"/>
    <x v="1"/>
    <x v="9"/>
    <x v="8"/>
    <x v="5"/>
    <x v="9"/>
    <x v="9"/>
    <n v="68413.25"/>
    <n v="11"/>
  </r>
  <r>
    <x v="10"/>
    <x v="1"/>
    <x v="10"/>
    <x v="9"/>
    <x v="9"/>
    <x v="10"/>
    <x v="10"/>
    <n v="69313.17"/>
    <n v="11.08"/>
  </r>
  <r>
    <x v="11"/>
    <x v="1"/>
    <x v="11"/>
    <x v="10"/>
    <x v="10"/>
    <x v="11"/>
    <x v="11"/>
    <n v="70213.08"/>
    <n v="11.17"/>
  </r>
  <r>
    <x v="0"/>
    <x v="1"/>
    <x v="12"/>
    <x v="11"/>
    <x v="11"/>
    <x v="12"/>
    <x v="12"/>
    <n v="71113"/>
    <n v="11.25"/>
  </r>
  <r>
    <x v="1"/>
    <x v="1"/>
    <x v="13"/>
    <x v="12"/>
    <x v="12"/>
    <x v="13"/>
    <x v="13"/>
    <n v="72057.919999999998"/>
    <n v="11.42"/>
  </r>
  <r>
    <x v="2"/>
    <x v="1"/>
    <x v="1"/>
    <x v="13"/>
    <x v="13"/>
    <x v="14"/>
    <x v="14"/>
    <n v="73002.83"/>
    <n v="11.58"/>
  </r>
  <r>
    <x v="3"/>
    <x v="1"/>
    <x v="14"/>
    <x v="14"/>
    <x v="14"/>
    <x v="15"/>
    <x v="15"/>
    <n v="73947.75"/>
    <n v="11.75"/>
  </r>
  <r>
    <x v="4"/>
    <x v="1"/>
    <x v="15"/>
    <x v="15"/>
    <x v="15"/>
    <x v="16"/>
    <x v="16"/>
    <n v="74892.67"/>
    <n v="11.92"/>
  </r>
  <r>
    <x v="5"/>
    <x v="1"/>
    <x v="16"/>
    <x v="16"/>
    <x v="16"/>
    <x v="17"/>
    <x v="17"/>
    <n v="75837.58"/>
    <n v="12.08"/>
  </r>
  <r>
    <x v="6"/>
    <x v="1"/>
    <x v="17"/>
    <x v="17"/>
    <x v="5"/>
    <x v="18"/>
    <x v="18"/>
    <n v="76782.5"/>
    <n v="12.25"/>
  </r>
  <r>
    <x v="7"/>
    <x v="1"/>
    <x v="6"/>
    <x v="18"/>
    <x v="17"/>
    <x v="19"/>
    <x v="19"/>
    <n v="77727.42"/>
    <n v="12.42"/>
  </r>
  <r>
    <x v="8"/>
    <x v="1"/>
    <x v="3"/>
    <x v="19"/>
    <x v="18"/>
    <x v="20"/>
    <x v="20"/>
    <n v="78672.33"/>
    <n v="12.58"/>
  </r>
  <r>
    <x v="9"/>
    <x v="1"/>
    <x v="18"/>
    <x v="20"/>
    <x v="19"/>
    <x v="21"/>
    <x v="21"/>
    <n v="79617.25"/>
    <n v="12.75"/>
  </r>
  <r>
    <x v="10"/>
    <x v="1"/>
    <x v="19"/>
    <x v="21"/>
    <x v="20"/>
    <x v="22"/>
    <x v="22"/>
    <n v="80562.17"/>
    <n v="12.92"/>
  </r>
  <r>
    <x v="11"/>
    <x v="1"/>
    <x v="20"/>
    <x v="22"/>
    <x v="21"/>
    <x v="23"/>
    <x v="23"/>
    <n v="81507.08"/>
    <n v="13.08"/>
  </r>
  <r>
    <x v="0"/>
    <x v="1"/>
    <x v="21"/>
    <x v="23"/>
    <x v="22"/>
    <x v="24"/>
    <x v="24"/>
    <n v="82452"/>
    <n v="13.25"/>
  </r>
  <r>
    <x v="1"/>
    <x v="1"/>
    <x v="22"/>
    <x v="21"/>
    <x v="23"/>
    <x v="25"/>
    <x v="25"/>
    <n v="83285.58"/>
    <n v="13.06"/>
  </r>
  <r>
    <x v="2"/>
    <x v="1"/>
    <x v="0"/>
    <x v="24"/>
    <x v="24"/>
    <x v="26"/>
    <x v="26"/>
    <n v="84119.17"/>
    <n v="12.88"/>
  </r>
  <r>
    <x v="3"/>
    <x v="1"/>
    <x v="23"/>
    <x v="25"/>
    <x v="25"/>
    <x v="27"/>
    <x v="27"/>
    <n v="84952.75"/>
    <n v="12.69"/>
  </r>
  <r>
    <x v="4"/>
    <x v="1"/>
    <x v="24"/>
    <x v="26"/>
    <x v="26"/>
    <x v="28"/>
    <x v="28"/>
    <n v="85786.33"/>
    <n v="12.5"/>
  </r>
  <r>
    <x v="5"/>
    <x v="1"/>
    <x v="25"/>
    <x v="27"/>
    <x v="4"/>
    <x v="29"/>
    <x v="29"/>
    <n v="86619.92"/>
    <n v="12.31"/>
  </r>
  <r>
    <x v="6"/>
    <x v="1"/>
    <x v="3"/>
    <x v="28"/>
    <x v="27"/>
    <x v="30"/>
    <x v="30"/>
    <n v="87453.5"/>
    <n v="12.13"/>
  </r>
  <r>
    <x v="7"/>
    <x v="1"/>
    <x v="26"/>
    <x v="29"/>
    <x v="28"/>
    <x v="31"/>
    <x v="31"/>
    <n v="88287.08"/>
    <n v="11.94"/>
  </r>
  <r>
    <x v="8"/>
    <x v="1"/>
    <x v="27"/>
    <x v="30"/>
    <x v="29"/>
    <x v="32"/>
    <x v="32"/>
    <n v="89120.67"/>
    <n v="11.75"/>
  </r>
  <r>
    <x v="9"/>
    <x v="1"/>
    <x v="28"/>
    <x v="27"/>
    <x v="30"/>
    <x v="33"/>
    <x v="33"/>
    <n v="89954.25"/>
    <n v="11.56"/>
  </r>
  <r>
    <x v="10"/>
    <x v="1"/>
    <x v="29"/>
    <x v="31"/>
    <x v="31"/>
    <x v="34"/>
    <x v="34"/>
    <n v="90787.83"/>
    <n v="11.38"/>
  </r>
  <r>
    <x v="11"/>
    <x v="1"/>
    <x v="30"/>
    <x v="32"/>
    <x v="32"/>
    <x v="35"/>
    <x v="35"/>
    <n v="91621.42"/>
    <n v="11.19"/>
  </r>
  <r>
    <x v="0"/>
    <x v="1"/>
    <x v="19"/>
    <x v="33"/>
    <x v="33"/>
    <x v="36"/>
    <x v="36"/>
    <n v="92455"/>
    <n v="11"/>
  </r>
  <r>
    <x v="1"/>
    <x v="1"/>
    <x v="31"/>
    <x v="34"/>
    <x v="34"/>
    <x v="37"/>
    <x v="37"/>
    <n v="93565.42"/>
    <n v="10.94"/>
  </r>
  <r>
    <x v="2"/>
    <x v="1"/>
    <x v="32"/>
    <x v="35"/>
    <x v="35"/>
    <x v="38"/>
    <x v="38"/>
    <n v="94675.83"/>
    <n v="10.88"/>
  </r>
  <r>
    <x v="3"/>
    <x v="1"/>
    <x v="33"/>
    <x v="36"/>
    <x v="36"/>
    <x v="39"/>
    <x v="39"/>
    <n v="95786.25"/>
    <n v="10.81"/>
  </r>
  <r>
    <x v="4"/>
    <x v="1"/>
    <x v="34"/>
    <x v="37"/>
    <x v="37"/>
    <x v="40"/>
    <x v="40"/>
    <n v="96896.67"/>
    <n v="10.75"/>
  </r>
  <r>
    <x v="5"/>
    <x v="1"/>
    <x v="35"/>
    <x v="38"/>
    <x v="38"/>
    <x v="41"/>
    <x v="41"/>
    <n v="98007.09"/>
    <n v="10.69"/>
  </r>
  <r>
    <x v="6"/>
    <x v="1"/>
    <x v="36"/>
    <x v="39"/>
    <x v="39"/>
    <x v="42"/>
    <x v="42"/>
    <n v="99117.5"/>
    <n v="10.63"/>
  </r>
  <r>
    <x v="7"/>
    <x v="1"/>
    <x v="37"/>
    <x v="40"/>
    <x v="40"/>
    <x v="43"/>
    <x v="43"/>
    <n v="100227.92"/>
    <n v="10.56"/>
  </r>
  <r>
    <x v="8"/>
    <x v="1"/>
    <x v="38"/>
    <x v="12"/>
    <x v="41"/>
    <x v="44"/>
    <x v="44"/>
    <n v="101338.34"/>
    <n v="10.5"/>
  </r>
  <r>
    <x v="9"/>
    <x v="1"/>
    <x v="39"/>
    <x v="27"/>
    <x v="42"/>
    <x v="45"/>
    <x v="45"/>
    <n v="102448.75"/>
    <n v="10.44"/>
  </r>
  <r>
    <x v="10"/>
    <x v="1"/>
    <x v="40"/>
    <x v="41"/>
    <x v="43"/>
    <x v="46"/>
    <x v="46"/>
    <n v="103559.17"/>
    <n v="10.38"/>
  </r>
  <r>
    <x v="11"/>
    <x v="1"/>
    <x v="41"/>
    <x v="42"/>
    <x v="44"/>
    <x v="47"/>
    <x v="47"/>
    <n v="104669.59"/>
    <n v="10.31"/>
  </r>
  <r>
    <x v="0"/>
    <x v="1"/>
    <x v="42"/>
    <x v="43"/>
    <x v="45"/>
    <x v="48"/>
    <x v="48"/>
    <n v="105780"/>
    <n v="10.25"/>
  </r>
  <r>
    <x v="1"/>
    <x v="1"/>
    <x v="43"/>
    <x v="44"/>
    <x v="45"/>
    <x v="49"/>
    <x v="49"/>
    <n v="106162.84"/>
    <n v="10.25"/>
  </r>
  <r>
    <x v="2"/>
    <x v="1"/>
    <x v="44"/>
    <x v="45"/>
    <x v="46"/>
    <x v="50"/>
    <x v="50"/>
    <n v="106545.67"/>
    <n v="10.24"/>
  </r>
  <r>
    <x v="3"/>
    <x v="1"/>
    <x v="45"/>
    <x v="24"/>
    <x v="47"/>
    <x v="51"/>
    <x v="51"/>
    <n v="106545.67"/>
    <n v="10.24"/>
  </r>
  <r>
    <x v="4"/>
    <x v="1"/>
    <x v="46"/>
    <x v="46"/>
    <x v="38"/>
    <x v="52"/>
    <x v="52"/>
    <n v="106928.5"/>
    <n v="10.24"/>
  </r>
  <r>
    <x v="5"/>
    <x v="1"/>
    <x v="47"/>
    <x v="31"/>
    <x v="48"/>
    <x v="53"/>
    <x v="53"/>
    <n v="107311.34"/>
    <n v="10.24"/>
  </r>
  <r>
    <x v="6"/>
    <x v="1"/>
    <x v="48"/>
    <x v="47"/>
    <x v="4"/>
    <x v="54"/>
    <x v="54"/>
    <n v="107694.17"/>
    <n v="10.23"/>
  </r>
  <r>
    <x v="7"/>
    <x v="1"/>
    <x v="49"/>
    <x v="48"/>
    <x v="39"/>
    <x v="55"/>
    <x v="55"/>
    <n v="108077"/>
    <n v="10.23"/>
  </r>
  <r>
    <x v="8"/>
    <x v="1"/>
    <x v="50"/>
    <x v="9"/>
    <x v="42"/>
    <x v="56"/>
    <x v="56"/>
    <n v="108459.84"/>
    <n v="10.23"/>
  </r>
  <r>
    <x v="9"/>
    <x v="1"/>
    <x v="25"/>
    <x v="49"/>
    <x v="49"/>
    <x v="57"/>
    <x v="57"/>
    <n v="108842.67"/>
    <n v="10.220000000000001"/>
  </r>
  <r>
    <x v="10"/>
    <x v="1"/>
    <x v="51"/>
    <x v="50"/>
    <x v="50"/>
    <x v="58"/>
    <x v="58"/>
    <n v="109225.5"/>
    <n v="10.220000000000001"/>
  </r>
  <r>
    <x v="11"/>
    <x v="1"/>
    <x v="52"/>
    <x v="51"/>
    <x v="51"/>
    <x v="59"/>
    <x v="59"/>
    <n v="109608.34"/>
    <n v="10.220000000000001"/>
  </r>
  <r>
    <x v="0"/>
    <x v="1"/>
    <x v="53"/>
    <x v="52"/>
    <x v="21"/>
    <x v="60"/>
    <x v="60"/>
    <n v="110374"/>
    <n v="10.220000000000001"/>
  </r>
  <r>
    <x v="1"/>
    <x v="1"/>
    <x v="54"/>
    <x v="53"/>
    <x v="52"/>
    <x v="61"/>
    <x v="61"/>
    <n v="113291.5"/>
    <n v="10.15"/>
  </r>
  <r>
    <x v="2"/>
    <x v="1"/>
    <x v="32"/>
    <x v="54"/>
    <x v="53"/>
    <x v="62"/>
    <x v="62"/>
    <n v="116209"/>
    <n v="10.08"/>
  </r>
  <r>
    <x v="3"/>
    <x v="1"/>
    <x v="55"/>
    <x v="54"/>
    <x v="54"/>
    <x v="63"/>
    <x v="63"/>
    <n v="119126.5"/>
    <n v="10.01"/>
  </r>
  <r>
    <x v="4"/>
    <x v="1"/>
    <x v="56"/>
    <x v="37"/>
    <x v="55"/>
    <x v="64"/>
    <x v="64"/>
    <n v="122044"/>
    <n v="9.94"/>
  </r>
  <r>
    <x v="5"/>
    <x v="1"/>
    <x v="45"/>
    <x v="35"/>
    <x v="56"/>
    <x v="65"/>
    <x v="65"/>
    <n v="124961.5"/>
    <n v="9.8800000000000008"/>
  </r>
  <r>
    <x v="6"/>
    <x v="1"/>
    <x v="49"/>
    <x v="55"/>
    <x v="41"/>
    <x v="66"/>
    <x v="66"/>
    <n v="127879"/>
    <n v="9.81"/>
  </r>
  <r>
    <x v="7"/>
    <x v="1"/>
    <x v="38"/>
    <x v="9"/>
    <x v="13"/>
    <x v="67"/>
    <x v="67"/>
    <n v="130796.5"/>
    <n v="9.74"/>
  </r>
  <r>
    <x v="8"/>
    <x v="1"/>
    <x v="36"/>
    <x v="56"/>
    <x v="13"/>
    <x v="68"/>
    <x v="68"/>
    <n v="133714"/>
    <n v="9.67"/>
  </r>
  <r>
    <x v="9"/>
    <x v="1"/>
    <x v="57"/>
    <x v="47"/>
    <x v="57"/>
    <x v="69"/>
    <x v="69"/>
    <n v="136631.5"/>
    <n v="9.6"/>
  </r>
  <r>
    <x v="10"/>
    <x v="1"/>
    <x v="58"/>
    <x v="34"/>
    <x v="58"/>
    <x v="70"/>
    <x v="70"/>
    <n v="139549"/>
    <n v="9.5399999999999991"/>
  </r>
  <r>
    <x v="11"/>
    <x v="1"/>
    <x v="59"/>
    <x v="57"/>
    <x v="59"/>
    <x v="71"/>
    <x v="71"/>
    <n v="142466.5"/>
    <n v="9.4700000000000006"/>
  </r>
  <r>
    <x v="0"/>
    <x v="1"/>
    <x v="60"/>
    <x v="58"/>
    <x v="60"/>
    <x v="72"/>
    <x v="72"/>
    <n v="145384"/>
    <n v="9.4"/>
  </r>
  <r>
    <x v="1"/>
    <x v="1"/>
    <x v="61"/>
    <x v="59"/>
    <x v="61"/>
    <x v="73"/>
    <x v="73"/>
    <n v="147537.57999999999"/>
    <n v="9.3699999999999992"/>
  </r>
  <r>
    <x v="2"/>
    <x v="1"/>
    <x v="62"/>
    <x v="0"/>
    <x v="62"/>
    <x v="74"/>
    <x v="74"/>
    <n v="149691.17000000001"/>
    <n v="9.33"/>
  </r>
  <r>
    <x v="3"/>
    <x v="1"/>
    <x v="63"/>
    <x v="60"/>
    <x v="63"/>
    <x v="75"/>
    <x v="75"/>
    <n v="151844.75"/>
    <n v="9.3000000000000007"/>
  </r>
  <r>
    <x v="4"/>
    <x v="1"/>
    <x v="35"/>
    <x v="38"/>
    <x v="35"/>
    <x v="76"/>
    <x v="76"/>
    <n v="153998.32999999999"/>
    <n v="9.27"/>
  </r>
  <r>
    <x v="5"/>
    <x v="1"/>
    <x v="34"/>
    <x v="61"/>
    <x v="47"/>
    <x v="77"/>
    <x v="77"/>
    <n v="156151.92000000001"/>
    <n v="9.23"/>
  </r>
  <r>
    <x v="6"/>
    <x v="1"/>
    <x v="64"/>
    <x v="62"/>
    <x v="64"/>
    <x v="78"/>
    <x v="78"/>
    <n v="158305.5"/>
    <n v="9.1999999999999993"/>
  </r>
  <r>
    <x v="7"/>
    <x v="1"/>
    <x v="0"/>
    <x v="14"/>
    <x v="65"/>
    <x v="79"/>
    <x v="79"/>
    <n v="160459.07999999999"/>
    <n v="9.17"/>
  </r>
  <r>
    <x v="8"/>
    <x v="1"/>
    <x v="49"/>
    <x v="39"/>
    <x v="66"/>
    <x v="80"/>
    <x v="80"/>
    <n v="162612.66"/>
    <n v="9.1300000000000008"/>
  </r>
  <r>
    <x v="9"/>
    <x v="1"/>
    <x v="65"/>
    <x v="63"/>
    <x v="1"/>
    <x v="81"/>
    <x v="81"/>
    <n v="164766.25"/>
    <n v="9.1"/>
  </r>
  <r>
    <x v="10"/>
    <x v="1"/>
    <x v="66"/>
    <x v="64"/>
    <x v="67"/>
    <x v="82"/>
    <x v="82"/>
    <n v="166919.82999999999"/>
    <n v="9.07"/>
  </r>
  <r>
    <x v="11"/>
    <x v="1"/>
    <x v="67"/>
    <x v="42"/>
    <x v="68"/>
    <x v="83"/>
    <x v="83"/>
    <n v="169073.41"/>
    <n v="9.0299999999999994"/>
  </r>
  <r>
    <x v="0"/>
    <x v="1"/>
    <x v="68"/>
    <x v="65"/>
    <x v="69"/>
    <x v="84"/>
    <x v="84"/>
    <n v="171227"/>
    <n v="9"/>
  </r>
  <r>
    <x v="1"/>
    <x v="1"/>
    <x v="69"/>
    <x v="65"/>
    <x v="70"/>
    <x v="85"/>
    <x v="85"/>
    <n v="169611.17"/>
    <n v="8.9600000000000009"/>
  </r>
  <r>
    <x v="2"/>
    <x v="1"/>
    <x v="64"/>
    <x v="26"/>
    <x v="11"/>
    <x v="86"/>
    <x v="86"/>
    <n v="167995.34"/>
    <n v="8.92"/>
  </r>
  <r>
    <x v="3"/>
    <x v="1"/>
    <x v="70"/>
    <x v="66"/>
    <x v="71"/>
    <x v="87"/>
    <x v="87"/>
    <n v="166379.51"/>
    <n v="8.8699999999999992"/>
  </r>
  <r>
    <x v="4"/>
    <x v="1"/>
    <x v="71"/>
    <x v="25"/>
    <x v="72"/>
    <x v="88"/>
    <x v="88"/>
    <n v="164763.68"/>
    <n v="8.83"/>
  </r>
  <r>
    <x v="5"/>
    <x v="1"/>
    <x v="72"/>
    <x v="67"/>
    <x v="38"/>
    <x v="89"/>
    <x v="89"/>
    <n v="163147.85"/>
    <n v="8.7899999999999991"/>
  </r>
  <r>
    <x v="6"/>
    <x v="1"/>
    <x v="38"/>
    <x v="68"/>
    <x v="16"/>
    <x v="90"/>
    <x v="90"/>
    <n v="161532.01999999999"/>
    <n v="8.75"/>
  </r>
  <r>
    <x v="7"/>
    <x v="1"/>
    <x v="73"/>
    <x v="66"/>
    <x v="73"/>
    <x v="91"/>
    <x v="91"/>
    <n v="159916.19"/>
    <n v="8.7100000000000009"/>
  </r>
  <r>
    <x v="8"/>
    <x v="1"/>
    <x v="74"/>
    <x v="69"/>
    <x v="38"/>
    <x v="92"/>
    <x v="92"/>
    <n v="158300.35999999999"/>
    <n v="8.67"/>
  </r>
  <r>
    <x v="9"/>
    <x v="1"/>
    <x v="75"/>
    <x v="70"/>
    <x v="74"/>
    <x v="93"/>
    <x v="93"/>
    <n v="156684.53"/>
    <n v="8.6199999999999992"/>
  </r>
  <r>
    <x v="10"/>
    <x v="1"/>
    <x v="76"/>
    <x v="71"/>
    <x v="75"/>
    <x v="94"/>
    <x v="94"/>
    <n v="155068.70000000001"/>
    <n v="8.58"/>
  </r>
  <r>
    <x v="11"/>
    <x v="1"/>
    <x v="77"/>
    <x v="72"/>
    <x v="76"/>
    <x v="95"/>
    <x v="95"/>
    <n v="153452.87"/>
    <n v="8.5399999999999991"/>
  </r>
  <r>
    <x v="0"/>
    <x v="1"/>
    <x v="78"/>
    <x v="73"/>
    <x v="77"/>
    <x v="96"/>
    <x v="96"/>
    <n v="151837.04"/>
    <n v="8.5"/>
  </r>
  <r>
    <x v="1"/>
    <x v="1"/>
    <x v="79"/>
    <x v="74"/>
    <x v="78"/>
    <x v="97"/>
    <x v="97"/>
    <n v="151712.04"/>
    <n v="8.4600000000000009"/>
  </r>
  <r>
    <x v="2"/>
    <x v="1"/>
    <x v="80"/>
    <x v="75"/>
    <x v="79"/>
    <x v="98"/>
    <x v="98"/>
    <n v="151587.04"/>
    <n v="8.42"/>
  </r>
  <r>
    <x v="3"/>
    <x v="1"/>
    <x v="81"/>
    <x v="36"/>
    <x v="80"/>
    <x v="99"/>
    <x v="99"/>
    <n v="151587.04"/>
    <n v="8.3699999999999992"/>
  </r>
  <r>
    <x v="4"/>
    <x v="1"/>
    <x v="82"/>
    <x v="31"/>
    <x v="81"/>
    <x v="100"/>
    <x v="100"/>
    <n v="151462.04"/>
    <n v="8.33"/>
  </r>
  <r>
    <x v="5"/>
    <x v="1"/>
    <x v="83"/>
    <x v="76"/>
    <x v="24"/>
    <x v="101"/>
    <x v="101"/>
    <n v="151337.04"/>
    <n v="8.2899999999999991"/>
  </r>
  <r>
    <x v="6"/>
    <x v="1"/>
    <x v="84"/>
    <x v="77"/>
    <x v="82"/>
    <x v="102"/>
    <x v="102"/>
    <n v="151212.04"/>
    <n v="8.25"/>
  </r>
  <r>
    <x v="7"/>
    <x v="1"/>
    <x v="85"/>
    <x v="78"/>
    <x v="83"/>
    <x v="103"/>
    <x v="103"/>
    <n v="151087.04000000001"/>
    <n v="8.2100000000000009"/>
  </r>
  <r>
    <x v="8"/>
    <x v="1"/>
    <x v="24"/>
    <x v="62"/>
    <x v="84"/>
    <x v="104"/>
    <x v="104"/>
    <n v="150962.04"/>
    <n v="8.17"/>
  </r>
  <r>
    <x v="9"/>
    <x v="1"/>
    <x v="84"/>
    <x v="38"/>
    <x v="85"/>
    <x v="105"/>
    <x v="105"/>
    <n v="150837.04"/>
    <n v="8.1199999999999992"/>
  </r>
  <r>
    <x v="10"/>
    <x v="1"/>
    <x v="86"/>
    <x v="79"/>
    <x v="70"/>
    <x v="106"/>
    <x v="106"/>
    <n v="150712.04"/>
    <n v="8.08"/>
  </r>
  <r>
    <x v="11"/>
    <x v="1"/>
    <x v="87"/>
    <x v="80"/>
    <x v="86"/>
    <x v="107"/>
    <x v="107"/>
    <n v="150587.04"/>
    <n v="8.0399999999999991"/>
  </r>
  <r>
    <x v="0"/>
    <x v="1"/>
    <x v="88"/>
    <x v="81"/>
    <x v="87"/>
    <x v="108"/>
    <x v="108"/>
    <n v="150337"/>
    <n v="8"/>
  </r>
  <r>
    <x v="1"/>
    <x v="1"/>
    <x v="89"/>
    <x v="82"/>
    <x v="88"/>
    <x v="109"/>
    <x v="109"/>
    <n v="150550.75"/>
    <n v="7.92"/>
  </r>
  <r>
    <x v="2"/>
    <x v="1"/>
    <x v="29"/>
    <x v="83"/>
    <x v="89"/>
    <x v="110"/>
    <x v="110"/>
    <n v="150764.5"/>
    <n v="7.83"/>
  </r>
  <r>
    <x v="3"/>
    <x v="1"/>
    <x v="90"/>
    <x v="84"/>
    <x v="31"/>
    <x v="111"/>
    <x v="111"/>
    <n v="150978.25"/>
    <n v="7.75"/>
  </r>
  <r>
    <x v="4"/>
    <x v="1"/>
    <x v="91"/>
    <x v="85"/>
    <x v="11"/>
    <x v="112"/>
    <x v="112"/>
    <n v="151192"/>
    <n v="7.67"/>
  </r>
  <r>
    <x v="5"/>
    <x v="1"/>
    <x v="38"/>
    <x v="6"/>
    <x v="90"/>
    <x v="113"/>
    <x v="113"/>
    <n v="151405.75"/>
    <n v="7.58"/>
  </r>
  <r>
    <x v="6"/>
    <x v="1"/>
    <x v="92"/>
    <x v="86"/>
    <x v="65"/>
    <x v="114"/>
    <x v="114"/>
    <n v="151619.5"/>
    <n v="7.5"/>
  </r>
  <r>
    <x v="7"/>
    <x v="1"/>
    <x v="93"/>
    <x v="87"/>
    <x v="91"/>
    <x v="115"/>
    <x v="115"/>
    <n v="151833.25"/>
    <n v="7.42"/>
  </r>
  <r>
    <x v="8"/>
    <x v="1"/>
    <x v="94"/>
    <x v="88"/>
    <x v="92"/>
    <x v="116"/>
    <x v="116"/>
    <n v="152047"/>
    <n v="7.33"/>
  </r>
  <r>
    <x v="9"/>
    <x v="1"/>
    <x v="23"/>
    <x v="89"/>
    <x v="93"/>
    <x v="117"/>
    <x v="117"/>
    <n v="152260.75"/>
    <n v="7.25"/>
  </r>
  <r>
    <x v="10"/>
    <x v="1"/>
    <x v="95"/>
    <x v="90"/>
    <x v="94"/>
    <x v="118"/>
    <x v="118"/>
    <n v="152474.5"/>
    <n v="7.17"/>
  </r>
  <r>
    <x v="11"/>
    <x v="1"/>
    <x v="86"/>
    <x v="91"/>
    <x v="95"/>
    <x v="119"/>
    <x v="119"/>
    <n v="152688.25"/>
    <n v="7.08"/>
  </r>
  <r>
    <x v="0"/>
    <x v="1"/>
    <x v="96"/>
    <x v="92"/>
    <x v="95"/>
    <x v="120"/>
    <x v="120"/>
    <n v="152902"/>
    <n v="7"/>
  </r>
  <r>
    <x v="1"/>
    <x v="1"/>
    <x v="97"/>
    <x v="93"/>
    <x v="96"/>
    <x v="121"/>
    <x v="121"/>
    <n v="156052.67000000001"/>
    <n v="7.05"/>
  </r>
  <r>
    <x v="2"/>
    <x v="1"/>
    <x v="98"/>
    <x v="94"/>
    <x v="97"/>
    <x v="122"/>
    <x v="122"/>
    <n v="159203.32999999999"/>
    <n v="7.1"/>
  </r>
  <r>
    <x v="3"/>
    <x v="1"/>
    <x v="63"/>
    <x v="36"/>
    <x v="47"/>
    <x v="123"/>
    <x v="123"/>
    <n v="162354"/>
    <n v="7.15"/>
  </r>
  <r>
    <x v="4"/>
    <x v="1"/>
    <x v="33"/>
    <x v="95"/>
    <x v="74"/>
    <x v="124"/>
    <x v="124"/>
    <n v="165504.67000000001"/>
    <n v="7.2"/>
  </r>
  <r>
    <x v="5"/>
    <x v="1"/>
    <x v="29"/>
    <x v="36"/>
    <x v="98"/>
    <x v="125"/>
    <x v="125"/>
    <n v="168655.34"/>
    <n v="7.25"/>
  </r>
  <r>
    <x v="6"/>
    <x v="1"/>
    <x v="99"/>
    <x v="96"/>
    <x v="24"/>
    <x v="126"/>
    <x v="126"/>
    <n v="171806"/>
    <n v="7.3"/>
  </r>
  <r>
    <x v="7"/>
    <x v="1"/>
    <x v="100"/>
    <x v="0"/>
    <x v="99"/>
    <x v="127"/>
    <x v="127"/>
    <n v="174956.67"/>
    <n v="7.35"/>
  </r>
  <r>
    <x v="8"/>
    <x v="1"/>
    <x v="75"/>
    <x v="31"/>
    <x v="100"/>
    <x v="128"/>
    <x v="128"/>
    <n v="178107.34"/>
    <n v="7.4"/>
  </r>
  <r>
    <x v="9"/>
    <x v="1"/>
    <x v="101"/>
    <x v="97"/>
    <x v="101"/>
    <x v="129"/>
    <x v="129"/>
    <n v="181258"/>
    <n v="7.45"/>
  </r>
  <r>
    <x v="10"/>
    <x v="1"/>
    <x v="102"/>
    <x v="98"/>
    <x v="102"/>
    <x v="130"/>
    <x v="130"/>
    <n v="184408.67"/>
    <n v="7.5"/>
  </r>
  <r>
    <x v="11"/>
    <x v="1"/>
    <x v="86"/>
    <x v="99"/>
    <x v="103"/>
    <x v="131"/>
    <x v="131"/>
    <n v="187559.34"/>
    <n v="7.55"/>
  </r>
  <r>
    <x v="0"/>
    <x v="1"/>
    <x v="103"/>
    <x v="100"/>
    <x v="104"/>
    <x v="132"/>
    <x v="132"/>
    <n v="190710"/>
    <n v="7.6"/>
  </r>
  <r>
    <x v="1"/>
    <x v="1"/>
    <x v="104"/>
    <x v="101"/>
    <x v="105"/>
    <x v="133"/>
    <x v="133"/>
    <n v="192776.05"/>
    <n v="7.64"/>
  </r>
  <r>
    <x v="2"/>
    <x v="1"/>
    <x v="105"/>
    <x v="102"/>
    <x v="59"/>
    <x v="134"/>
    <x v="134"/>
    <n v="194842.1"/>
    <n v="7.68"/>
  </r>
  <r>
    <x v="3"/>
    <x v="1"/>
    <x v="106"/>
    <x v="31"/>
    <x v="106"/>
    <x v="135"/>
    <x v="135"/>
    <n v="196908.15"/>
    <n v="7.73"/>
  </r>
  <r>
    <x v="4"/>
    <x v="1"/>
    <x v="107"/>
    <x v="103"/>
    <x v="107"/>
    <x v="136"/>
    <x v="136"/>
    <n v="198974.19"/>
    <n v="7.77"/>
  </r>
  <r>
    <x v="5"/>
    <x v="1"/>
    <x v="106"/>
    <x v="31"/>
    <x v="108"/>
    <x v="137"/>
    <x v="137"/>
    <n v="201040.24"/>
    <n v="7.81"/>
  </r>
  <r>
    <x v="6"/>
    <x v="1"/>
    <x v="75"/>
    <x v="104"/>
    <x v="109"/>
    <x v="138"/>
    <x v="138"/>
    <n v="203106.29"/>
    <n v="7.85"/>
  </r>
  <r>
    <x v="7"/>
    <x v="1"/>
    <x v="84"/>
    <x v="38"/>
    <x v="84"/>
    <x v="139"/>
    <x v="139"/>
    <n v="205172.33"/>
    <n v="7.89"/>
  </r>
  <r>
    <x v="8"/>
    <x v="1"/>
    <x v="108"/>
    <x v="105"/>
    <x v="110"/>
    <x v="140"/>
    <x v="140"/>
    <n v="207238.38"/>
    <n v="7.93"/>
  </r>
  <r>
    <x v="9"/>
    <x v="1"/>
    <x v="109"/>
    <x v="106"/>
    <x v="111"/>
    <x v="141"/>
    <x v="141"/>
    <n v="209304.43"/>
    <n v="7.98"/>
  </r>
  <r>
    <x v="10"/>
    <x v="1"/>
    <x v="110"/>
    <x v="107"/>
    <x v="112"/>
    <x v="142"/>
    <x v="142"/>
    <n v="211370.47"/>
    <n v="8.02"/>
  </r>
  <r>
    <x v="11"/>
    <x v="1"/>
    <x v="111"/>
    <x v="108"/>
    <x v="113"/>
    <x v="143"/>
    <x v="143"/>
    <n v="213436.52"/>
    <n v="8.06"/>
  </r>
  <r>
    <x v="0"/>
    <x v="1"/>
    <x v="112"/>
    <x v="109"/>
    <x v="114"/>
    <x v="144"/>
    <x v="144"/>
    <n v="215502.57"/>
    <n v="8.1"/>
  </r>
  <r>
    <x v="1"/>
    <x v="1"/>
    <x v="113"/>
    <x v="110"/>
    <x v="115"/>
    <x v="144"/>
    <x v="145"/>
    <n v="217568.62"/>
    <n v="8.14"/>
  </r>
  <r>
    <x v="2"/>
    <x v="1"/>
    <x v="53"/>
    <x v="92"/>
    <x v="116"/>
    <x v="145"/>
    <x v="146"/>
    <n v="219634.66"/>
    <n v="8.18"/>
  </r>
  <r>
    <x v="3"/>
    <x v="1"/>
    <x v="114"/>
    <x v="111"/>
    <x v="117"/>
    <x v="146"/>
    <x v="147"/>
    <n v="221700.71"/>
    <n v="8.23"/>
  </r>
  <r>
    <x v="4"/>
    <x v="1"/>
    <x v="53"/>
    <x v="92"/>
    <x v="118"/>
    <x v="147"/>
    <x v="148"/>
    <n v="223766.76"/>
    <n v="8.27"/>
  </r>
  <r>
    <x v="5"/>
    <x v="1"/>
    <x v="115"/>
    <x v="58"/>
    <x v="103"/>
    <x v="148"/>
    <x v="149"/>
    <n v="225832.8"/>
    <n v="8.31"/>
  </r>
  <r>
    <x v="6"/>
    <x v="1"/>
    <x v="116"/>
    <x v="112"/>
    <x v="119"/>
    <x v="149"/>
    <x v="150"/>
    <n v="227898.85"/>
    <n v="8.35"/>
  </r>
  <r>
    <x v="7"/>
    <x v="1"/>
    <x v="81"/>
    <x v="113"/>
    <x v="120"/>
    <x v="150"/>
    <x v="151"/>
    <n v="229964.9"/>
    <n v="8.39"/>
  </r>
  <r>
    <x v="8"/>
    <x v="1"/>
    <x v="117"/>
    <x v="114"/>
    <x v="121"/>
    <x v="151"/>
    <x v="152"/>
    <n v="232030.94"/>
    <n v="8.43"/>
  </r>
  <r>
    <x v="9"/>
    <x v="1"/>
    <x v="118"/>
    <x v="115"/>
    <x v="116"/>
    <x v="152"/>
    <x v="153"/>
    <n v="234096.99"/>
    <n v="8.48"/>
  </r>
  <r>
    <x v="10"/>
    <x v="1"/>
    <x v="119"/>
    <x v="116"/>
    <x v="122"/>
    <x v="153"/>
    <x v="154"/>
    <n v="236163.04"/>
    <n v="8.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n v="347"/>
    <n v="322"/>
    <x v="0"/>
    <n v="122.4"/>
    <x v="0"/>
    <x v="0"/>
    <x v="0"/>
  </r>
  <r>
    <x v="1"/>
    <n v="391"/>
    <n v="374"/>
    <x v="1"/>
    <n v="124.1"/>
    <x v="1"/>
    <x v="1"/>
    <x v="1"/>
  </r>
  <r>
    <x v="2"/>
    <n v="560"/>
    <n v="565"/>
    <x v="2"/>
    <n v="125.8"/>
    <x v="2"/>
    <x v="2"/>
    <x v="2"/>
  </r>
  <r>
    <x v="3"/>
    <n v="591"/>
    <n v="580"/>
    <x v="3"/>
    <n v="127.4"/>
    <x v="3"/>
    <x v="3"/>
    <x v="3"/>
  </r>
  <r>
    <x v="4"/>
    <n v="592"/>
    <n v="584"/>
    <x v="4"/>
    <n v="129.1"/>
    <x v="4"/>
    <x v="4"/>
    <x v="0"/>
  </r>
  <r>
    <x v="5"/>
    <n v="531"/>
    <n v="503"/>
    <x v="5"/>
    <n v="130.69999999999999"/>
    <x v="5"/>
    <x v="5"/>
    <x v="4"/>
  </r>
  <r>
    <x v="6"/>
    <n v="583"/>
    <n v="574"/>
    <x v="6"/>
    <n v="132.30000000000001"/>
    <x v="6"/>
    <x v="6"/>
    <x v="5"/>
  </r>
  <r>
    <x v="7"/>
    <n v="721"/>
    <n v="700"/>
    <x v="7"/>
    <n v="133.9"/>
    <x v="7"/>
    <x v="7"/>
    <x v="6"/>
  </r>
  <r>
    <x v="8"/>
    <n v="755"/>
    <n v="734"/>
    <x v="8"/>
    <n v="135.4"/>
    <x v="8"/>
    <x v="8"/>
    <x v="7"/>
  </r>
  <r>
    <x v="9"/>
    <n v="791"/>
    <n v="771"/>
    <x v="9"/>
    <n v="136.9"/>
    <x v="9"/>
    <x v="9"/>
    <x v="8"/>
  </r>
  <r>
    <x v="10"/>
    <n v="675"/>
    <n v="514"/>
    <x v="10"/>
    <n v="138.30000000000001"/>
    <x v="10"/>
    <x v="10"/>
    <x v="9"/>
  </r>
  <r>
    <x v="11"/>
    <n v="821"/>
    <n v="809"/>
    <x v="11"/>
    <n v="139.6"/>
    <x v="11"/>
    <x v="11"/>
    <x v="10"/>
  </r>
  <r>
    <x v="12"/>
    <n v="825"/>
    <n v="823"/>
    <x v="12"/>
    <n v="140.80000000000001"/>
    <x v="12"/>
    <x v="12"/>
    <x v="11"/>
  </r>
  <r>
    <x v="13"/>
    <n v="306"/>
    <n v="285"/>
    <x v="13"/>
    <n v="122.5"/>
    <x v="13"/>
    <x v="13"/>
    <x v="12"/>
  </r>
  <r>
    <x v="14"/>
    <n v="397"/>
    <n v="344"/>
    <x v="14"/>
    <n v="124.2"/>
    <x v="14"/>
    <x v="14"/>
    <x v="13"/>
  </r>
  <r>
    <x v="15"/>
    <n v="538"/>
    <n v="523"/>
    <x v="15"/>
    <n v="125.9"/>
    <x v="15"/>
    <x v="15"/>
    <x v="14"/>
  </r>
  <r>
    <x v="16"/>
    <n v="593"/>
    <n v="591"/>
    <x v="16"/>
    <n v="127.6"/>
    <x v="16"/>
    <x v="16"/>
    <x v="15"/>
  </r>
  <r>
    <x v="17"/>
    <n v="611"/>
    <n v="590"/>
    <x v="4"/>
    <n v="129.19999999999999"/>
    <x v="17"/>
    <x v="17"/>
    <x v="0"/>
  </r>
  <r>
    <x v="18"/>
    <n v="663"/>
    <n v="651"/>
    <x v="17"/>
    <n v="130.9"/>
    <x v="18"/>
    <x v="18"/>
    <x v="16"/>
  </r>
  <r>
    <x v="19"/>
    <n v="520"/>
    <n v="512"/>
    <x v="18"/>
    <n v="132.4"/>
    <x v="19"/>
    <x v="19"/>
    <x v="17"/>
  </r>
  <r>
    <x v="20"/>
    <n v="705"/>
    <n v="700"/>
    <x v="19"/>
    <n v="134"/>
    <x v="20"/>
    <x v="20"/>
    <x v="18"/>
  </r>
  <r>
    <x v="21"/>
    <n v="701"/>
    <n v="689"/>
    <x v="20"/>
    <n v="135.5"/>
    <x v="21"/>
    <x v="21"/>
    <x v="19"/>
  </r>
  <r>
    <x v="22"/>
    <n v="777"/>
    <n v="786"/>
    <x v="21"/>
    <n v="137"/>
    <x v="22"/>
    <x v="22"/>
    <x v="20"/>
  </r>
  <r>
    <x v="23"/>
    <n v="700"/>
    <n v="578"/>
    <x v="22"/>
    <n v="138.4"/>
    <x v="23"/>
    <x v="23"/>
    <x v="21"/>
  </r>
  <r>
    <x v="24"/>
    <n v="811"/>
    <n v="829"/>
    <x v="23"/>
    <n v="139.69999999999999"/>
    <x v="24"/>
    <x v="24"/>
    <x v="22"/>
  </r>
  <r>
    <x v="25"/>
    <n v="848"/>
    <n v="836"/>
    <x v="24"/>
    <n v="140.80000000000001"/>
    <x v="25"/>
    <x v="25"/>
    <x v="23"/>
  </r>
  <r>
    <x v="26"/>
    <n v="236"/>
    <n v="245"/>
    <x v="25"/>
    <n v="122.6"/>
    <x v="26"/>
    <x v="26"/>
    <x v="24"/>
  </r>
  <r>
    <x v="27"/>
    <n v="306"/>
    <n v="300"/>
    <x v="26"/>
    <n v="124.3"/>
    <x v="27"/>
    <x v="27"/>
    <x v="25"/>
  </r>
  <r>
    <x v="28"/>
    <n v="347"/>
    <n v="403"/>
    <x v="27"/>
    <n v="126"/>
    <x v="28"/>
    <x v="28"/>
    <x v="26"/>
  </r>
  <r>
    <x v="29"/>
    <n v="400"/>
    <n v="404"/>
    <x v="28"/>
    <n v="127.7"/>
    <x v="29"/>
    <x v="29"/>
    <x v="27"/>
  </r>
  <r>
    <x v="30"/>
    <n v="437"/>
    <n v="412"/>
    <x v="29"/>
    <n v="129.4"/>
    <x v="30"/>
    <x v="30"/>
    <x v="28"/>
  </r>
  <r>
    <x v="31"/>
    <n v="400"/>
    <n v="380"/>
    <x v="30"/>
    <n v="131"/>
    <x v="31"/>
    <x v="31"/>
    <x v="29"/>
  </r>
  <r>
    <x v="32"/>
    <n v="381"/>
    <n v="322"/>
    <x v="31"/>
    <n v="132.5"/>
    <x v="32"/>
    <x v="32"/>
    <x v="30"/>
  </r>
  <r>
    <x v="33"/>
    <n v="380"/>
    <n v="350"/>
    <x v="1"/>
    <n v="134.1"/>
    <x v="33"/>
    <x v="33"/>
    <x v="31"/>
  </r>
  <r>
    <x v="34"/>
    <n v="429"/>
    <n v="421"/>
    <x v="32"/>
    <n v="135.69999999999999"/>
    <x v="34"/>
    <x v="34"/>
    <x v="32"/>
  </r>
  <r>
    <x v="35"/>
    <n v="445"/>
    <n v="434"/>
    <x v="33"/>
    <n v="137.1"/>
    <x v="35"/>
    <x v="35"/>
    <x v="33"/>
  </r>
  <r>
    <x v="36"/>
    <n v="419"/>
    <n v="500"/>
    <x v="34"/>
    <n v="138.5"/>
    <x v="36"/>
    <x v="36"/>
    <x v="34"/>
  </r>
  <r>
    <x v="37"/>
    <n v="467"/>
    <n v="511"/>
    <x v="35"/>
    <n v="139.80000000000001"/>
    <x v="37"/>
    <x v="37"/>
    <x v="35"/>
  </r>
  <r>
    <x v="38"/>
    <n v="531"/>
    <n v="514"/>
    <x v="36"/>
    <n v="140.9"/>
    <x v="38"/>
    <x v="38"/>
    <x v="36"/>
  </r>
  <r>
    <x v="39"/>
    <n v="234"/>
    <n v="212"/>
    <x v="37"/>
    <n v="122.8"/>
    <x v="39"/>
    <x v="39"/>
    <x v="37"/>
  </r>
  <r>
    <x v="40"/>
    <n v="313"/>
    <n v="323"/>
    <x v="38"/>
    <n v="124.5"/>
    <x v="40"/>
    <x v="40"/>
    <x v="38"/>
  </r>
  <r>
    <x v="41"/>
    <n v="366"/>
    <n v="334"/>
    <x v="39"/>
    <n v="126.2"/>
    <x v="41"/>
    <x v="41"/>
    <x v="39"/>
  </r>
  <r>
    <x v="42"/>
    <n v="425"/>
    <n v="414"/>
    <x v="40"/>
    <n v="127.9"/>
    <x v="42"/>
    <x v="42"/>
    <x v="40"/>
  </r>
  <r>
    <x v="43"/>
    <n v="413"/>
    <n v="403"/>
    <x v="41"/>
    <n v="129.5"/>
    <x v="43"/>
    <x v="30"/>
    <x v="28"/>
  </r>
  <r>
    <x v="44"/>
    <n v="392"/>
    <n v="380"/>
    <x v="42"/>
    <n v="131.1"/>
    <x v="44"/>
    <x v="43"/>
    <x v="41"/>
  </r>
  <r>
    <x v="45"/>
    <n v="399"/>
    <n v="356"/>
    <x v="43"/>
    <n v="132.69999999999999"/>
    <x v="45"/>
    <x v="44"/>
    <x v="42"/>
  </r>
  <r>
    <x v="46"/>
    <n v="370"/>
    <n v="348"/>
    <x v="44"/>
    <n v="134.19999999999999"/>
    <x v="46"/>
    <x v="45"/>
    <x v="43"/>
  </r>
  <r>
    <x v="47"/>
    <n v="422"/>
    <n v="414"/>
    <x v="45"/>
    <n v="135.80000000000001"/>
    <x v="47"/>
    <x v="34"/>
    <x v="44"/>
  </r>
  <r>
    <x v="48"/>
    <n v="464"/>
    <n v="311"/>
    <x v="46"/>
    <n v="137.30000000000001"/>
    <x v="48"/>
    <x v="46"/>
    <x v="45"/>
  </r>
  <r>
    <x v="49"/>
    <n v="399"/>
    <n v="414"/>
    <x v="41"/>
    <n v="138.6"/>
    <x v="49"/>
    <x v="47"/>
    <x v="46"/>
  </r>
  <r>
    <x v="50"/>
    <n v="440"/>
    <n v="423"/>
    <x v="47"/>
    <n v="139.9"/>
    <x v="50"/>
    <x v="48"/>
    <x v="47"/>
  </r>
  <r>
    <x v="51"/>
    <n v="487"/>
    <n v="477"/>
    <x v="48"/>
    <n v="141"/>
    <x v="51"/>
    <x v="49"/>
    <x v="48"/>
  </r>
  <r>
    <x v="52"/>
    <n v="296"/>
    <n v="289"/>
    <x v="49"/>
    <n v="122.9"/>
    <x v="52"/>
    <x v="50"/>
    <x v="49"/>
  </r>
  <r>
    <x v="53"/>
    <n v="315"/>
    <n v="292"/>
    <x v="50"/>
    <n v="124.6"/>
    <x v="53"/>
    <x v="51"/>
    <x v="50"/>
  </r>
  <r>
    <x v="54"/>
    <n v="386"/>
    <n v="350"/>
    <x v="51"/>
    <n v="126.3"/>
    <x v="54"/>
    <x v="52"/>
    <x v="51"/>
  </r>
  <r>
    <x v="55"/>
    <n v="401"/>
    <n v="375"/>
    <x v="52"/>
    <n v="128"/>
    <x v="55"/>
    <x v="53"/>
    <x v="52"/>
  </r>
  <r>
    <x v="56"/>
    <n v="411"/>
    <n v="397"/>
    <x v="53"/>
    <n v="129.69999999999999"/>
    <x v="56"/>
    <x v="54"/>
    <x v="28"/>
  </r>
  <r>
    <x v="57"/>
    <n v="382"/>
    <n v="375"/>
    <x v="54"/>
    <n v="131.19999999999999"/>
    <x v="57"/>
    <x v="55"/>
    <x v="53"/>
  </r>
  <r>
    <x v="58"/>
    <n v="403"/>
    <n v="391"/>
    <x v="28"/>
    <n v="132.80000000000001"/>
    <x v="58"/>
    <x v="56"/>
    <x v="54"/>
  </r>
  <r>
    <x v="59"/>
    <n v="361"/>
    <n v="334"/>
    <x v="55"/>
    <n v="134.4"/>
    <x v="59"/>
    <x v="57"/>
    <x v="55"/>
  </r>
  <r>
    <x v="60"/>
    <n v="443"/>
    <n v="423"/>
    <x v="56"/>
    <n v="135.9"/>
    <x v="60"/>
    <x v="58"/>
    <x v="56"/>
  </r>
  <r>
    <x v="61"/>
    <n v="369"/>
    <n v="195"/>
    <x v="1"/>
    <n v="137.4"/>
    <x v="61"/>
    <x v="59"/>
    <x v="57"/>
  </r>
  <r>
    <x v="62"/>
    <n v="425"/>
    <n v="405"/>
    <x v="57"/>
    <n v="138.80000000000001"/>
    <x v="62"/>
    <x v="60"/>
    <x v="58"/>
  </r>
  <r>
    <x v="63"/>
    <n v="489"/>
    <n v="439"/>
    <x v="58"/>
    <n v="140"/>
    <x v="63"/>
    <x v="61"/>
    <x v="59"/>
  </r>
  <r>
    <x v="64"/>
    <n v="531"/>
    <n v="514"/>
    <x v="59"/>
    <n v="141.1"/>
    <x v="64"/>
    <x v="62"/>
    <x v="60"/>
  </r>
  <r>
    <x v="65"/>
    <n v="224"/>
    <n v="212"/>
    <x v="60"/>
    <n v="123.1"/>
    <x v="65"/>
    <x v="63"/>
    <x v="61"/>
  </r>
  <r>
    <x v="66"/>
    <n v="270"/>
    <n v="280"/>
    <x v="61"/>
    <n v="124.8"/>
    <x v="66"/>
    <x v="64"/>
    <x v="62"/>
  </r>
  <r>
    <x v="67"/>
    <n v="300"/>
    <n v="291"/>
    <x v="49"/>
    <n v="126.5"/>
    <x v="67"/>
    <x v="65"/>
    <x v="63"/>
  </r>
  <r>
    <x v="68"/>
    <n v="403"/>
    <n v="391"/>
    <x v="53"/>
    <n v="128.1"/>
    <x v="68"/>
    <x v="66"/>
    <x v="64"/>
  </r>
  <r>
    <x v="69"/>
    <n v="435"/>
    <n v="423"/>
    <x v="62"/>
    <n v="129.80000000000001"/>
    <x v="69"/>
    <x v="67"/>
    <x v="28"/>
  </r>
  <r>
    <x v="70"/>
    <n v="413"/>
    <n v="404"/>
    <x v="63"/>
    <n v="131.4"/>
    <x v="70"/>
    <x v="68"/>
    <x v="65"/>
  </r>
  <r>
    <x v="71"/>
    <n v="401"/>
    <n v="389"/>
    <x v="41"/>
    <n v="132.9"/>
    <x v="71"/>
    <x v="69"/>
    <x v="66"/>
  </r>
  <r>
    <x v="72"/>
    <n v="414"/>
    <n v="409"/>
    <x v="53"/>
    <n v="134.5"/>
    <x v="72"/>
    <x v="70"/>
    <x v="67"/>
  </r>
  <r>
    <x v="73"/>
    <n v="410"/>
    <n v="401"/>
    <x v="27"/>
    <n v="136"/>
    <x v="73"/>
    <x v="71"/>
    <x v="68"/>
  </r>
  <r>
    <x v="74"/>
    <n v="323"/>
    <n v="200"/>
    <x v="64"/>
    <n v="137.5"/>
    <x v="74"/>
    <x v="72"/>
    <x v="69"/>
  </r>
  <r>
    <x v="75"/>
    <n v="445"/>
    <n v="414"/>
    <x v="65"/>
    <n v="138.9"/>
    <x v="75"/>
    <x v="73"/>
    <x v="70"/>
  </r>
  <r>
    <x v="76"/>
    <n v="440"/>
    <n v="423"/>
    <x v="66"/>
    <n v="140.1"/>
    <x v="76"/>
    <x v="74"/>
    <x v="71"/>
  </r>
  <r>
    <x v="77"/>
    <n v="586"/>
    <n v="574"/>
    <x v="67"/>
    <n v="141.19999999999999"/>
    <x v="77"/>
    <x v="75"/>
    <x v="72"/>
  </r>
  <r>
    <x v="78"/>
    <n v="184"/>
    <n v="174"/>
    <x v="68"/>
    <n v="123.2"/>
    <x v="78"/>
    <x v="76"/>
    <x v="52"/>
  </r>
  <r>
    <x v="79"/>
    <n v="213"/>
    <n v="225"/>
    <x v="60"/>
    <n v="124.9"/>
    <x v="79"/>
    <x v="77"/>
    <x v="73"/>
  </r>
  <r>
    <x v="80"/>
    <n v="234"/>
    <n v="236"/>
    <x v="69"/>
    <n v="126.6"/>
    <x v="80"/>
    <x v="78"/>
    <x v="74"/>
  </r>
  <r>
    <x v="81"/>
    <n v="311"/>
    <n v="304"/>
    <x v="70"/>
    <n v="128.30000000000001"/>
    <x v="81"/>
    <x v="79"/>
    <x v="75"/>
  </r>
  <r>
    <x v="82"/>
    <n v="325"/>
    <n v="313"/>
    <x v="49"/>
    <n v="129.9"/>
    <x v="82"/>
    <x v="80"/>
    <x v="76"/>
  </r>
  <r>
    <x v="83"/>
    <n v="314"/>
    <n v="308"/>
    <x v="71"/>
    <n v="131.5"/>
    <x v="83"/>
    <x v="81"/>
    <x v="77"/>
  </r>
  <r>
    <x v="84"/>
    <n v="380"/>
    <n v="369"/>
    <x v="72"/>
    <n v="133.1"/>
    <x v="84"/>
    <x v="82"/>
    <x v="78"/>
  </r>
  <r>
    <x v="85"/>
    <n v="323"/>
    <n v="303"/>
    <x v="61"/>
    <n v="134.6"/>
    <x v="85"/>
    <x v="83"/>
    <x v="79"/>
  </r>
  <r>
    <x v="86"/>
    <n v="396"/>
    <n v="383"/>
    <x v="73"/>
    <n v="136.19999999999999"/>
    <x v="86"/>
    <x v="84"/>
    <x v="80"/>
  </r>
  <r>
    <x v="87"/>
    <n v="360"/>
    <n v="256"/>
    <x v="74"/>
    <n v="137.6"/>
    <x v="87"/>
    <x v="85"/>
    <x v="81"/>
  </r>
  <r>
    <x v="88"/>
    <n v="356"/>
    <n v="336"/>
    <x v="27"/>
    <n v="139"/>
    <x v="88"/>
    <x v="86"/>
    <x v="82"/>
  </r>
  <r>
    <x v="89"/>
    <n v="388"/>
    <n v="382"/>
    <x v="75"/>
    <n v="140.19999999999999"/>
    <x v="89"/>
    <x v="87"/>
    <x v="83"/>
  </r>
  <r>
    <x v="90"/>
    <n v="434"/>
    <n v="430"/>
    <x v="76"/>
    <n v="141.30000000000001"/>
    <x v="90"/>
    <x v="88"/>
    <x v="84"/>
  </r>
  <r>
    <x v="91"/>
    <n v="193"/>
    <n v="200"/>
    <x v="77"/>
    <n v="123.3"/>
    <x v="91"/>
    <x v="89"/>
    <x v="85"/>
  </r>
  <r>
    <x v="92"/>
    <n v="184"/>
    <n v="165"/>
    <x v="78"/>
    <n v="125.1"/>
    <x v="92"/>
    <x v="90"/>
    <x v="86"/>
  </r>
  <r>
    <x v="93"/>
    <n v="266"/>
    <n v="262"/>
    <x v="79"/>
    <n v="126.7"/>
    <x v="93"/>
    <x v="91"/>
    <x v="87"/>
  </r>
  <r>
    <x v="94"/>
    <n v="291"/>
    <n v="221"/>
    <x v="80"/>
    <n v="128.4"/>
    <x v="94"/>
    <x v="92"/>
    <x v="88"/>
  </r>
  <r>
    <x v="95"/>
    <n v="314"/>
    <n v="309"/>
    <x v="70"/>
    <n v="130.1"/>
    <x v="95"/>
    <x v="93"/>
    <x v="76"/>
  </r>
  <r>
    <x v="96"/>
    <n v="323"/>
    <n v="314"/>
    <x v="26"/>
    <n v="131.6"/>
    <x v="96"/>
    <x v="94"/>
    <x v="89"/>
  </r>
  <r>
    <x v="97"/>
    <n v="347"/>
    <n v="323"/>
    <x v="74"/>
    <n v="133.19999999999999"/>
    <x v="97"/>
    <x v="95"/>
    <x v="90"/>
  </r>
  <r>
    <x v="98"/>
    <n v="321"/>
    <n v="348"/>
    <x v="81"/>
    <n v="134.80000000000001"/>
    <x v="98"/>
    <x v="96"/>
    <x v="91"/>
  </r>
  <r>
    <x v="99"/>
    <n v="378"/>
    <n v="386"/>
    <x v="82"/>
    <n v="136.30000000000001"/>
    <x v="99"/>
    <x v="97"/>
    <x v="92"/>
  </r>
  <r>
    <x v="100"/>
    <n v="331"/>
    <n v="270"/>
    <x v="83"/>
    <n v="137.69999999999999"/>
    <x v="100"/>
    <x v="98"/>
    <x v="93"/>
  </r>
  <r>
    <x v="101"/>
    <n v="326"/>
    <n v="322"/>
    <x v="84"/>
    <n v="139.1"/>
    <x v="101"/>
    <x v="99"/>
    <x v="94"/>
  </r>
  <r>
    <x v="102"/>
    <n v="396"/>
    <n v="391"/>
    <x v="85"/>
    <n v="140.30000000000001"/>
    <x v="102"/>
    <x v="100"/>
    <x v="95"/>
  </r>
  <r>
    <x v="103"/>
    <n v="422"/>
    <n v="419"/>
    <x v="86"/>
    <n v="141.4"/>
    <x v="103"/>
    <x v="101"/>
    <x v="96"/>
  </r>
  <r>
    <x v="104"/>
    <n v="169"/>
    <n v="152"/>
    <x v="87"/>
    <n v="123.5"/>
    <x v="104"/>
    <x v="102"/>
    <x v="97"/>
  </r>
  <r>
    <x v="105"/>
    <n v="234"/>
    <n v="191"/>
    <x v="88"/>
    <n v="125.2"/>
    <x v="105"/>
    <x v="103"/>
    <x v="98"/>
  </r>
  <r>
    <x v="106"/>
    <n v="287"/>
    <n v="278"/>
    <x v="89"/>
    <n v="126.9"/>
    <x v="106"/>
    <x v="104"/>
    <x v="38"/>
  </r>
  <r>
    <x v="107"/>
    <n v="323"/>
    <n v="344"/>
    <x v="71"/>
    <n v="128.6"/>
    <x v="107"/>
    <x v="105"/>
    <x v="37"/>
  </r>
  <r>
    <x v="108"/>
    <n v="302"/>
    <n v="314"/>
    <x v="90"/>
    <n v="130.19999999999999"/>
    <x v="108"/>
    <x v="106"/>
    <x v="76"/>
  </r>
  <r>
    <x v="109"/>
    <n v="311"/>
    <n v="343"/>
    <x v="26"/>
    <n v="131.80000000000001"/>
    <x v="109"/>
    <x v="107"/>
    <x v="99"/>
  </r>
  <r>
    <x v="110"/>
    <n v="314"/>
    <n v="304"/>
    <x v="91"/>
    <n v="133.30000000000001"/>
    <x v="110"/>
    <x v="108"/>
    <x v="100"/>
  </r>
  <r>
    <x v="111"/>
    <n v="359"/>
    <n v="377"/>
    <x v="53"/>
    <n v="134.9"/>
    <x v="111"/>
    <x v="109"/>
    <x v="101"/>
  </r>
  <r>
    <x v="112"/>
    <n v="386"/>
    <n v="369"/>
    <x v="85"/>
    <n v="136.4"/>
    <x v="112"/>
    <x v="110"/>
    <x v="102"/>
  </r>
  <r>
    <x v="113"/>
    <n v="333"/>
    <n v="260"/>
    <x v="92"/>
    <n v="137.80000000000001"/>
    <x v="113"/>
    <x v="111"/>
    <x v="103"/>
  </r>
  <r>
    <x v="114"/>
    <n v="388"/>
    <n v="423"/>
    <x v="93"/>
    <n v="139.19999999999999"/>
    <x v="114"/>
    <x v="112"/>
    <x v="104"/>
  </r>
  <r>
    <x v="115"/>
    <n v="406"/>
    <n v="420"/>
    <x v="94"/>
    <n v="140.4"/>
    <x v="115"/>
    <x v="113"/>
    <x v="105"/>
  </r>
  <r>
    <x v="116"/>
    <n v="433"/>
    <n v="431"/>
    <x v="95"/>
    <n v="141.5"/>
    <x v="116"/>
    <x v="114"/>
    <x v="106"/>
  </r>
  <r>
    <x v="117"/>
    <n v="200"/>
    <n v="214"/>
    <x v="60"/>
    <n v="123.6"/>
    <x v="117"/>
    <x v="115"/>
    <x v="3"/>
  </r>
  <r>
    <x v="118"/>
    <n v="251"/>
    <n v="243"/>
    <x v="96"/>
    <n v="125.3"/>
    <x v="118"/>
    <x v="116"/>
    <x v="107"/>
  </r>
  <r>
    <x v="119"/>
    <n v="303"/>
    <n v="291"/>
    <x v="97"/>
    <n v="127"/>
    <x v="119"/>
    <x v="117"/>
    <x v="108"/>
  </r>
  <r>
    <x v="120"/>
    <n v="309"/>
    <n v="291"/>
    <x v="90"/>
    <n v="128.69999999999999"/>
    <x v="120"/>
    <x v="118"/>
    <x v="109"/>
  </r>
  <r>
    <x v="121"/>
    <n v="300"/>
    <n v="301"/>
    <x v="98"/>
    <n v="130.30000000000001"/>
    <x v="121"/>
    <x v="119"/>
    <x v="4"/>
  </r>
  <r>
    <x v="122"/>
    <n v="318"/>
    <n v="313"/>
    <x v="99"/>
    <n v="131.9"/>
    <x v="122"/>
    <x v="120"/>
    <x v="110"/>
  </r>
  <r>
    <x v="123"/>
    <n v="336"/>
    <n v="312"/>
    <x v="13"/>
    <n v="133.5"/>
    <x v="123"/>
    <x v="121"/>
    <x v="111"/>
  </r>
  <r>
    <x v="124"/>
    <n v="388"/>
    <n v="398"/>
    <x v="57"/>
    <n v="135"/>
    <x v="124"/>
    <x v="122"/>
    <x v="112"/>
  </r>
  <r>
    <x v="125"/>
    <n v="396"/>
    <n v="391"/>
    <x v="100"/>
    <n v="136.5"/>
    <x v="125"/>
    <x v="123"/>
    <x v="113"/>
  </r>
  <r>
    <x v="126"/>
    <n v="366"/>
    <n v="281"/>
    <x v="101"/>
    <n v="138"/>
    <x v="126"/>
    <x v="124"/>
    <x v="70"/>
  </r>
  <r>
    <x v="127"/>
    <n v="337"/>
    <n v="354"/>
    <x v="102"/>
    <n v="139.30000000000001"/>
    <x v="127"/>
    <x v="125"/>
    <x v="114"/>
  </r>
  <r>
    <x v="128"/>
    <n v="423"/>
    <n v="408"/>
    <x v="103"/>
    <n v="140.5"/>
    <x v="128"/>
    <x v="126"/>
    <x v="115"/>
  </r>
  <r>
    <x v="129"/>
    <n v="453"/>
    <n v="451"/>
    <x v="36"/>
    <n v="141.6"/>
    <x v="129"/>
    <x v="127"/>
    <x v="116"/>
  </r>
  <r>
    <x v="130"/>
    <n v="335"/>
    <n v="314"/>
    <x v="104"/>
    <n v="123.8"/>
    <x v="130"/>
    <x v="128"/>
    <x v="117"/>
  </r>
  <r>
    <x v="131"/>
    <n v="591"/>
    <n v="523"/>
    <x v="105"/>
    <n v="125.5"/>
    <x v="131"/>
    <x v="129"/>
    <x v="118"/>
  </r>
  <r>
    <x v="132"/>
    <n v="445"/>
    <n v="423"/>
    <x v="46"/>
    <n v="127.2"/>
    <x v="132"/>
    <x v="130"/>
    <x v="119"/>
  </r>
  <r>
    <x v="133"/>
    <n v="625"/>
    <n v="603"/>
    <x v="106"/>
    <n v="128.80000000000001"/>
    <x v="133"/>
    <x v="131"/>
    <x v="120"/>
  </r>
  <r>
    <x v="134"/>
    <n v="612"/>
    <n v="621"/>
    <x v="107"/>
    <n v="130.5"/>
    <x v="134"/>
    <x v="132"/>
    <x v="4"/>
  </r>
  <r>
    <x v="135"/>
    <n v="609"/>
    <n v="591"/>
    <x v="108"/>
    <n v="132"/>
    <x v="135"/>
    <x v="133"/>
    <x v="121"/>
  </r>
  <r>
    <x v="136"/>
    <n v="697"/>
    <n v="674"/>
    <x v="109"/>
    <n v="133.6"/>
    <x v="136"/>
    <x v="134"/>
    <x v="122"/>
  </r>
  <r>
    <x v="137"/>
    <n v="689"/>
    <n v="664"/>
    <x v="110"/>
    <n v="135.19999999999999"/>
    <x v="137"/>
    <x v="135"/>
    <x v="123"/>
  </r>
  <r>
    <x v="138"/>
    <n v="691"/>
    <n v="673"/>
    <x v="19"/>
    <n v="136.69999999999999"/>
    <x v="138"/>
    <x v="136"/>
    <x v="124"/>
  </r>
  <r>
    <x v="139"/>
    <n v="771"/>
    <n v="531"/>
    <x v="111"/>
    <n v="138.1"/>
    <x v="139"/>
    <x v="137"/>
    <x v="125"/>
  </r>
  <r>
    <x v="140"/>
    <n v="731"/>
    <n v="717"/>
    <x v="112"/>
    <n v="139.4"/>
    <x v="140"/>
    <x v="138"/>
    <x v="81"/>
  </r>
  <r>
    <x v="141"/>
    <n v="830"/>
    <n v="843"/>
    <x v="113"/>
    <n v="140.6"/>
    <x v="141"/>
    <x v="139"/>
    <x v="126"/>
  </r>
  <r>
    <x v="142"/>
    <n v="903"/>
    <n v="895"/>
    <x v="114"/>
    <n v="141.69999999999999"/>
    <x v="142"/>
    <x v="140"/>
    <x v="127"/>
  </r>
  <r>
    <x v="143"/>
    <n v="458"/>
    <n v="400"/>
    <x v="115"/>
    <n v="123.9"/>
    <x v="143"/>
    <x v="141"/>
    <x v="128"/>
  </r>
  <r>
    <x v="144"/>
    <n v="548"/>
    <n v="520"/>
    <x v="5"/>
    <n v="125.6"/>
    <x v="144"/>
    <x v="142"/>
    <x v="129"/>
  </r>
  <r>
    <x v="145"/>
    <n v="589"/>
    <n v="569"/>
    <x v="116"/>
    <n v="127.3"/>
    <x v="145"/>
    <x v="143"/>
    <x v="130"/>
  </r>
  <r>
    <x v="146"/>
    <n v="600"/>
    <n v="614"/>
    <x v="117"/>
    <n v="129"/>
    <x v="146"/>
    <x v="144"/>
    <x v="131"/>
  </r>
  <r>
    <x v="147"/>
    <n v="575"/>
    <n v="530"/>
    <x v="118"/>
    <n v="130.6"/>
    <x v="147"/>
    <x v="145"/>
    <x v="4"/>
  </r>
  <r>
    <x v="148"/>
    <n v="529"/>
    <n v="522"/>
    <x v="35"/>
    <n v="132.1"/>
    <x v="148"/>
    <x v="146"/>
    <x v="132"/>
  </r>
  <r>
    <x v="149"/>
    <n v="644"/>
    <n v="614"/>
    <x v="119"/>
    <n v="133.69999999999999"/>
    <x v="149"/>
    <x v="147"/>
    <x v="133"/>
  </r>
  <r>
    <x v="150"/>
    <n v="704"/>
    <n v="681"/>
    <x v="120"/>
    <n v="135.30000000000001"/>
    <x v="150"/>
    <x v="148"/>
    <x v="134"/>
  </r>
  <r>
    <x v="151"/>
    <n v="736"/>
    <n v="721"/>
    <x v="121"/>
    <n v="136.80000000000001"/>
    <x v="151"/>
    <x v="149"/>
    <x v="135"/>
  </r>
  <r>
    <x v="152"/>
    <n v="691"/>
    <n v="537"/>
    <x v="10"/>
    <n v="138.19999999999999"/>
    <x v="152"/>
    <x v="150"/>
    <x v="136"/>
  </r>
  <r>
    <x v="153"/>
    <n v="691"/>
    <n v="665"/>
    <x v="67"/>
    <n v="139.5"/>
    <x v="153"/>
    <x v="151"/>
    <x v="137"/>
  </r>
  <r>
    <x v="154"/>
    <n v="894"/>
    <n v="858"/>
    <x v="122"/>
    <n v="140.69999999999999"/>
    <x v="154"/>
    <x v="152"/>
    <x v="1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A511BC-836D-4D00-950E-5606F5026C06}" name="PivotTable3"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67:D80" firstHeaderRow="0" firstDataRow="1" firstDataCol="1"/>
  <pivotFields count="9">
    <pivotField axis="axisRow"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dataField="1" showAll="0">
      <items count="124">
        <item x="87"/>
        <item x="68"/>
        <item x="78"/>
        <item x="60"/>
        <item x="77"/>
        <item x="88"/>
        <item x="80"/>
        <item x="37"/>
        <item x="96"/>
        <item x="69"/>
        <item x="79"/>
        <item x="25"/>
        <item x="50"/>
        <item x="98"/>
        <item x="89"/>
        <item x="61"/>
        <item x="81"/>
        <item x="90"/>
        <item x="97"/>
        <item x="70"/>
        <item x="74"/>
        <item x="49"/>
        <item x="92"/>
        <item x="99"/>
        <item x="83"/>
        <item x="55"/>
        <item x="26"/>
        <item x="84"/>
        <item x="104"/>
        <item x="91"/>
        <item x="71"/>
        <item x="38"/>
        <item x="102"/>
        <item x="13"/>
        <item x="33"/>
        <item x="63"/>
        <item x="44"/>
        <item x="0"/>
        <item x="51"/>
        <item x="39"/>
        <item x="1"/>
        <item x="54"/>
        <item x="101"/>
        <item x="64"/>
        <item x="42"/>
        <item x="43"/>
        <item x="31"/>
        <item x="30"/>
        <item x="73"/>
        <item x="14"/>
        <item x="72"/>
        <item x="82"/>
        <item x="17"/>
        <item x="27"/>
        <item x="93"/>
        <item x="52"/>
        <item x="85"/>
        <item x="53"/>
        <item x="75"/>
        <item x="28"/>
        <item x="57"/>
        <item x="103"/>
        <item x="41"/>
        <item x="65"/>
        <item x="94"/>
        <item x="40"/>
        <item x="29"/>
        <item x="115"/>
        <item x="100"/>
        <item x="62"/>
        <item x="58"/>
        <item x="47"/>
        <item x="66"/>
        <item x="45"/>
        <item x="32"/>
        <item x="46"/>
        <item x="56"/>
        <item x="34"/>
        <item x="48"/>
        <item x="95"/>
        <item x="18"/>
        <item x="35"/>
        <item x="86"/>
        <item x="5"/>
        <item x="15"/>
        <item x="118"/>
        <item x="76"/>
        <item x="105"/>
        <item x="2"/>
        <item x="6"/>
        <item x="116"/>
        <item x="3"/>
        <item x="16"/>
        <item x="108"/>
        <item x="59"/>
        <item x="4"/>
        <item x="106"/>
        <item x="117"/>
        <item x="107"/>
        <item x="36"/>
        <item x="119"/>
        <item x="110"/>
        <item x="22"/>
        <item x="67"/>
        <item x="10"/>
        <item x="109"/>
        <item x="19"/>
        <item x="7"/>
        <item x="120"/>
        <item x="20"/>
        <item x="111"/>
        <item x="121"/>
        <item x="9"/>
        <item x="8"/>
        <item x="112"/>
        <item x="21"/>
        <item x="23"/>
        <item x="11"/>
        <item x="12"/>
        <item x="24"/>
        <item x="113"/>
        <item x="122"/>
        <item x="114"/>
        <item t="default"/>
      </items>
    </pivotField>
    <pivotField showAll="0"/>
    <pivotField showAll="0"/>
    <pivotField showAll="0"/>
    <pivotField dataField="1" showAll="0">
      <items count="140">
        <item x="9"/>
        <item x="21"/>
        <item x="136"/>
        <item x="34"/>
        <item x="46"/>
        <item x="125"/>
        <item x="58"/>
        <item x="70"/>
        <item x="82"/>
        <item x="103"/>
        <item x="94"/>
        <item x="104"/>
        <item x="93"/>
        <item x="114"/>
        <item x="81"/>
        <item x="137"/>
        <item x="69"/>
        <item x="10"/>
        <item x="22"/>
        <item x="57"/>
        <item x="35"/>
        <item x="47"/>
        <item x="45"/>
        <item x="59"/>
        <item x="71"/>
        <item x="33"/>
        <item x="83"/>
        <item x="95"/>
        <item x="20"/>
        <item x="105"/>
        <item x="115"/>
        <item x="8"/>
        <item x="126"/>
        <item x="135"/>
        <item x="138"/>
        <item x="124"/>
        <item x="11"/>
        <item x="113"/>
        <item x="23"/>
        <item x="102"/>
        <item x="36"/>
        <item x="92"/>
        <item x="48"/>
        <item x="80"/>
        <item x="60"/>
        <item x="68"/>
        <item x="72"/>
        <item x="56"/>
        <item x="84"/>
        <item x="44"/>
        <item x="96"/>
        <item x="32"/>
        <item x="106"/>
        <item x="19"/>
        <item x="116"/>
        <item x="7"/>
        <item x="134"/>
        <item x="123"/>
        <item x="127"/>
        <item x="112"/>
        <item x="101"/>
        <item x="91"/>
        <item x="79"/>
        <item x="67"/>
        <item x="55"/>
        <item x="43"/>
        <item x="31"/>
        <item x="18"/>
        <item x="6"/>
        <item x="133"/>
        <item x="122"/>
        <item x="111"/>
        <item x="100"/>
        <item x="90"/>
        <item x="78"/>
        <item x="66"/>
        <item x="54"/>
        <item x="42"/>
        <item x="30"/>
        <item x="17"/>
        <item x="5"/>
        <item x="132"/>
        <item x="121"/>
        <item x="110"/>
        <item x="99"/>
        <item x="89"/>
        <item x="77"/>
        <item x="65"/>
        <item x="53"/>
        <item x="41"/>
        <item x="29"/>
        <item x="16"/>
        <item x="4"/>
        <item x="76"/>
        <item x="28"/>
        <item x="0"/>
        <item x="131"/>
        <item x="12"/>
        <item x="120"/>
        <item x="24"/>
        <item x="109"/>
        <item x="37"/>
        <item x="88"/>
        <item x="49"/>
        <item x="75"/>
        <item x="61"/>
        <item x="64"/>
        <item x="52"/>
        <item x="40"/>
        <item x="85"/>
        <item x="27"/>
        <item x="97"/>
        <item x="15"/>
        <item x="3"/>
        <item x="117"/>
        <item x="128"/>
        <item x="130"/>
        <item x="1"/>
        <item x="119"/>
        <item x="13"/>
        <item x="108"/>
        <item x="25"/>
        <item x="38"/>
        <item x="50"/>
        <item x="87"/>
        <item x="62"/>
        <item x="74"/>
        <item x="73"/>
        <item x="63"/>
        <item x="86"/>
        <item x="51"/>
        <item x="98"/>
        <item x="39"/>
        <item x="107"/>
        <item x="26"/>
        <item x="118"/>
        <item x="14"/>
        <item x="129"/>
        <item x="2"/>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Average of Interest Rate" fld="7" subtotal="average" baseField="8" baseItem="1" numFmtId="9"/>
    <dataField name="Average of Demand" fld="3" subtotal="average" baseField="8" baseItem="1"/>
    <dataField name="Average of Sales" fld="2" subtotal="average" baseField="8"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2"/>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F002A-8F20-43F7-A570-316BD6FAFF1A}"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1:D64" firstHeaderRow="0" firstDataRow="1" firstDataCol="1"/>
  <pivotFields count="9">
    <pivotField axis="axisRow"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showAll="0"/>
    <pivotField showAll="0"/>
    <pivotField dataField="1" showAll="0">
      <items count="154">
        <item x="0"/>
        <item x="13"/>
        <item x="26"/>
        <item x="39"/>
        <item x="50"/>
        <item x="63"/>
        <item x="76"/>
        <item x="89"/>
        <item x="102"/>
        <item x="115"/>
        <item x="128"/>
        <item x="141"/>
        <item x="1"/>
        <item x="14"/>
        <item x="27"/>
        <item x="40"/>
        <item x="51"/>
        <item x="64"/>
        <item x="77"/>
        <item x="90"/>
        <item x="103"/>
        <item x="116"/>
        <item x="129"/>
        <item x="142"/>
        <item x="2"/>
        <item x="15"/>
        <item x="28"/>
        <item x="41"/>
        <item x="52"/>
        <item x="65"/>
        <item x="78"/>
        <item x="91"/>
        <item x="104"/>
        <item x="117"/>
        <item x="130"/>
        <item x="143"/>
        <item x="3"/>
        <item x="16"/>
        <item x="29"/>
        <item x="42"/>
        <item x="53"/>
        <item x="66"/>
        <item x="79"/>
        <item x="92"/>
        <item x="105"/>
        <item x="118"/>
        <item x="131"/>
        <item x="144"/>
        <item x="4"/>
        <item x="17"/>
        <item x="30"/>
        <item x="54"/>
        <item x="67"/>
        <item x="80"/>
        <item x="93"/>
        <item x="106"/>
        <item x="119"/>
        <item x="132"/>
        <item x="145"/>
        <item x="5"/>
        <item x="18"/>
        <item x="31"/>
        <item x="43"/>
        <item x="55"/>
        <item x="68"/>
        <item x="81"/>
        <item x="94"/>
        <item x="107"/>
        <item x="120"/>
        <item x="133"/>
        <item x="146"/>
        <item x="6"/>
        <item x="19"/>
        <item x="32"/>
        <item x="9"/>
        <item x="22"/>
        <item x="149"/>
        <item x="136"/>
        <item x="35"/>
        <item x="123"/>
        <item x="110"/>
        <item x="46"/>
        <item x="97"/>
        <item x="59"/>
        <item x="84"/>
        <item x="71"/>
        <item x="72"/>
        <item x="58"/>
        <item x="34"/>
        <item x="85"/>
        <item x="21"/>
        <item x="98"/>
        <item x="8"/>
        <item x="44"/>
        <item x="111"/>
        <item x="124"/>
        <item x="137"/>
        <item x="150"/>
        <item x="10"/>
        <item x="148"/>
        <item x="56"/>
        <item x="135"/>
        <item x="23"/>
        <item x="69"/>
        <item x="122"/>
        <item x="109"/>
        <item x="82"/>
        <item x="36"/>
        <item x="96"/>
        <item x="95"/>
        <item x="83"/>
        <item x="47"/>
        <item x="108"/>
        <item x="70"/>
        <item x="57"/>
        <item x="121"/>
        <item x="60"/>
        <item x="45"/>
        <item x="134"/>
        <item x="33"/>
        <item x="73"/>
        <item x="147"/>
        <item x="20"/>
        <item x="7"/>
        <item x="86"/>
        <item x="99"/>
        <item x="112"/>
        <item x="125"/>
        <item x="138"/>
        <item x="151"/>
        <item x="11"/>
        <item x="24"/>
        <item x="37"/>
        <item x="48"/>
        <item x="61"/>
        <item x="74"/>
        <item x="87"/>
        <item x="100"/>
        <item x="113"/>
        <item x="126"/>
        <item x="139"/>
        <item x="152"/>
        <item x="12"/>
        <item x="25"/>
        <item x="38"/>
        <item x="49"/>
        <item x="62"/>
        <item x="75"/>
        <item x="88"/>
        <item x="101"/>
        <item x="114"/>
        <item x="127"/>
        <item x="140"/>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8"/>
    <field x="0"/>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Average of Disbursement" fld="6" subtotal="average" baseField="8" baseItem="1"/>
    <dataField name="Average of Production" fld="1" subtotal="average" baseField="8" baseItem="1"/>
    <dataField name="Average of Sales" fld="2" subtotal="average" baseField="8"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945B4B-BF2C-47E7-B565-CDE5BAE52330}"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5:D48" firstHeaderRow="0" firstDataRow="1" firstDataCol="1"/>
  <pivotFields count="9">
    <pivotField axis="axisRow"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pivotField showAll="0"/>
    <pivotField dataField="1" showAll="0">
      <items count="156">
        <item x="49"/>
        <item x="62"/>
        <item x="78"/>
        <item x="65"/>
        <item x="52"/>
        <item x="91"/>
        <item x="39"/>
        <item x="26"/>
        <item x="104"/>
        <item x="13"/>
        <item x="36"/>
        <item x="117"/>
        <item x="0"/>
        <item x="80"/>
        <item x="40"/>
        <item x="67"/>
        <item x="130"/>
        <item x="53"/>
        <item x="54"/>
        <item x="93"/>
        <item x="66"/>
        <item x="41"/>
        <item x="27"/>
        <item x="79"/>
        <item x="106"/>
        <item x="92"/>
        <item x="143"/>
        <item x="75"/>
        <item x="105"/>
        <item x="119"/>
        <item x="14"/>
        <item x="81"/>
        <item x="28"/>
        <item x="118"/>
        <item x="94"/>
        <item x="68"/>
        <item x="107"/>
        <item x="55"/>
        <item x="1"/>
        <item x="120"/>
        <item x="131"/>
        <item x="42"/>
        <item x="132"/>
        <item x="15"/>
        <item x="144"/>
        <item x="133"/>
        <item x="29"/>
        <item x="2"/>
        <item x="145"/>
        <item x="82"/>
        <item x="95"/>
        <item x="146"/>
        <item x="83"/>
        <item x="108"/>
        <item x="16"/>
        <item x="69"/>
        <item x="121"/>
        <item x="56"/>
        <item x="134"/>
        <item x="4"/>
        <item x="17"/>
        <item x="96"/>
        <item x="30"/>
        <item x="43"/>
        <item x="70"/>
        <item x="3"/>
        <item x="147"/>
        <item x="109"/>
        <item x="57"/>
        <item x="5"/>
        <item x="18"/>
        <item x="122"/>
        <item x="31"/>
        <item x="44"/>
        <item x="135"/>
        <item x="148"/>
        <item x="84"/>
        <item x="6"/>
        <item x="88"/>
        <item x="50"/>
        <item x="97"/>
        <item x="7"/>
        <item x="85"/>
        <item x="71"/>
        <item x="19"/>
        <item x="149"/>
        <item x="110"/>
        <item x="20"/>
        <item x="72"/>
        <item x="136"/>
        <item x="58"/>
        <item x="23"/>
        <item x="63"/>
        <item x="32"/>
        <item x="123"/>
        <item x="98"/>
        <item x="33"/>
        <item x="59"/>
        <item x="45"/>
        <item x="46"/>
        <item x="76"/>
        <item x="111"/>
        <item x="86"/>
        <item x="87"/>
        <item x="101"/>
        <item x="89"/>
        <item x="73"/>
        <item x="124"/>
        <item x="100"/>
        <item x="99"/>
        <item x="74"/>
        <item x="60"/>
        <item x="137"/>
        <item x="102"/>
        <item x="47"/>
        <item x="113"/>
        <item x="61"/>
        <item x="150"/>
        <item x="34"/>
        <item x="112"/>
        <item x="142"/>
        <item x="129"/>
        <item x="21"/>
        <item x="116"/>
        <item x="126"/>
        <item x="103"/>
        <item x="114"/>
        <item x="8"/>
        <item x="115"/>
        <item x="90"/>
        <item x="48"/>
        <item x="77"/>
        <item x="37"/>
        <item x="125"/>
        <item x="64"/>
        <item x="51"/>
        <item x="35"/>
        <item x="139"/>
        <item x="138"/>
        <item x="128"/>
        <item x="22"/>
        <item x="151"/>
        <item x="152"/>
        <item x="127"/>
        <item x="9"/>
        <item x="10"/>
        <item x="38"/>
        <item x="141"/>
        <item x="140"/>
        <item x="24"/>
        <item x="153"/>
        <item x="25"/>
        <item x="154"/>
        <item x="11"/>
        <item x="12"/>
        <item t="default"/>
      </items>
    </pivotField>
    <pivotField showAll="0"/>
    <pivotField showAll="0"/>
    <pivotField axis="axisRow" showAll="0" sortType="ascending">
      <items count="15">
        <item sd="0" x="1"/>
        <item sd="0" x="2"/>
        <item sd="0" x="3"/>
        <item sd="0" x="4"/>
        <item sd="0" x="5"/>
        <item sd="0" x="6"/>
        <item sd="0" x="7"/>
        <item sd="0" x="8"/>
        <item sd="0" x="9"/>
        <item sd="0" x="10"/>
        <item sd="0" x="11"/>
        <item sd="0" x="12"/>
        <item sd="0" x="0"/>
        <item sd="0" x="13"/>
        <item t="default"/>
      </items>
    </pivotField>
  </pivotFields>
  <rowFields count="2">
    <field x="8"/>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verage of Gdp" fld="5" subtotal="average" baseField="8" baseItem="1"/>
    <dataField name="Average of Production" fld="1" subtotal="average" baseField="8" baseItem="1"/>
    <dataField name="Average of Sales" fld="2" subtotal="average" baseField="8" baseItem="1"/>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998667-B046-4DA0-9977-7133A9A8516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B31" firstHeaderRow="1" firstDataRow="1" firstDataCol="1"/>
  <pivotFields count="9">
    <pivotField axis="axisRow" showAll="0">
      <items count="13">
        <item x="0"/>
        <item x="1"/>
        <item x="2"/>
        <item x="3"/>
        <item x="4"/>
        <item x="5"/>
        <item x="6"/>
        <item x="7"/>
        <item x="8"/>
        <item x="9"/>
        <item x="10"/>
        <item x="11"/>
        <item t="default"/>
      </items>
    </pivotField>
    <pivotField showAll="0"/>
    <pivotField showAll="0"/>
    <pivotField dataField="1" showAll="0">
      <items count="118">
        <item x="7"/>
        <item x="18"/>
        <item x="5"/>
        <item x="19"/>
        <item x="85"/>
        <item x="6"/>
        <item x="3"/>
        <item x="8"/>
        <item x="40"/>
        <item x="17"/>
        <item x="28"/>
        <item x="20"/>
        <item x="2"/>
        <item x="86"/>
        <item x="88"/>
        <item x="29"/>
        <item x="87"/>
        <item x="30"/>
        <item x="16"/>
        <item x="89"/>
        <item x="1"/>
        <item x="4"/>
        <item x="27"/>
        <item x="15"/>
        <item x="13"/>
        <item x="49"/>
        <item x="68"/>
        <item x="39"/>
        <item x="55"/>
        <item x="48"/>
        <item x="84"/>
        <item x="63"/>
        <item x="47"/>
        <item x="9"/>
        <item x="0"/>
        <item x="14"/>
        <item x="25"/>
        <item x="96"/>
        <item x="56"/>
        <item x="12"/>
        <item x="66"/>
        <item x="26"/>
        <item x="97"/>
        <item x="60"/>
        <item x="62"/>
        <item x="11"/>
        <item x="37"/>
        <item x="69"/>
        <item x="54"/>
        <item x="104"/>
        <item x="77"/>
        <item x="78"/>
        <item x="61"/>
        <item x="38"/>
        <item x="46"/>
        <item x="70"/>
        <item x="10"/>
        <item x="76"/>
        <item x="24"/>
        <item x="35"/>
        <item x="95"/>
        <item x="106"/>
        <item x="67"/>
        <item x="45"/>
        <item x="36"/>
        <item x="113"/>
        <item x="105"/>
        <item x="75"/>
        <item x="31"/>
        <item x="112"/>
        <item x="114"/>
        <item x="83"/>
        <item x="103"/>
        <item x="115"/>
        <item x="111"/>
        <item x="94"/>
        <item x="52"/>
        <item x="102"/>
        <item x="59"/>
        <item x="92"/>
        <item x="22"/>
        <item x="57"/>
        <item x="21"/>
        <item x="51"/>
        <item x="90"/>
        <item x="91"/>
        <item x="23"/>
        <item x="32"/>
        <item x="58"/>
        <item x="93"/>
        <item x="33"/>
        <item x="43"/>
        <item x="44"/>
        <item x="34"/>
        <item x="41"/>
        <item x="42"/>
        <item x="50"/>
        <item x="53"/>
        <item x="71"/>
        <item x="99"/>
        <item x="79"/>
        <item x="64"/>
        <item x="72"/>
        <item x="74"/>
        <item x="65"/>
        <item x="98"/>
        <item x="80"/>
        <item x="73"/>
        <item x="81"/>
        <item x="82"/>
        <item x="100"/>
        <item x="109"/>
        <item x="101"/>
        <item x="110"/>
        <item x="107"/>
        <item x="108"/>
        <item x="116"/>
        <item t="default"/>
      </items>
    </pivotField>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Average of Sales" fld="3"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E9B2B7-8A3C-4EC3-BC95-712DC2DFC984}"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6" firstHeaderRow="1" firstDataRow="1" firstDataCol="1"/>
  <pivotFields count="9">
    <pivotField axis="axisRow" showAll="0">
      <items count="13">
        <item x="0"/>
        <item x="1"/>
        <item x="2"/>
        <item x="3"/>
        <item x="4"/>
        <item x="5"/>
        <item x="6"/>
        <item x="7"/>
        <item x="8"/>
        <item x="9"/>
        <item x="10"/>
        <item x="11"/>
        <item t="default"/>
      </items>
    </pivotField>
    <pivotField showAll="0"/>
    <pivotField dataField="1" showAll="0">
      <items count="121">
        <item x="8"/>
        <item x="6"/>
        <item x="7"/>
        <item x="9"/>
        <item x="17"/>
        <item x="5"/>
        <item x="3"/>
        <item x="2"/>
        <item x="18"/>
        <item x="26"/>
        <item x="16"/>
        <item x="27"/>
        <item x="37"/>
        <item x="4"/>
        <item x="25"/>
        <item x="50"/>
        <item x="28"/>
        <item x="1"/>
        <item x="39"/>
        <item x="36"/>
        <item x="14"/>
        <item x="49"/>
        <item x="15"/>
        <item x="57"/>
        <item x="73"/>
        <item x="38"/>
        <item x="48"/>
        <item x="100"/>
        <item x="93"/>
        <item x="94"/>
        <item x="10"/>
        <item x="65"/>
        <item x="101"/>
        <item x="0"/>
        <item x="99"/>
        <item x="74"/>
        <item x="92"/>
        <item x="71"/>
        <item x="23"/>
        <item x="91"/>
        <item x="70"/>
        <item x="85"/>
        <item x="64"/>
        <item x="62"/>
        <item x="56"/>
        <item x="24"/>
        <item x="75"/>
        <item x="12"/>
        <item x="55"/>
        <item x="84"/>
        <item x="13"/>
        <item x="63"/>
        <item x="32"/>
        <item x="34"/>
        <item x="35"/>
        <item x="108"/>
        <item x="83"/>
        <item x="46"/>
        <item x="45"/>
        <item x="72"/>
        <item x="98"/>
        <item x="81"/>
        <item x="109"/>
        <item x="33"/>
        <item x="80"/>
        <item x="117"/>
        <item x="116"/>
        <item x="47"/>
        <item x="44"/>
        <item x="106"/>
        <item x="82"/>
        <item x="29"/>
        <item x="118"/>
        <item x="11"/>
        <item x="90"/>
        <item x="105"/>
        <item x="114"/>
        <item x="107"/>
        <item x="61"/>
        <item x="59"/>
        <item x="53"/>
        <item x="22"/>
        <item x="20"/>
        <item x="21"/>
        <item x="52"/>
        <item x="60"/>
        <item x="115"/>
        <item x="30"/>
        <item x="19"/>
        <item x="42"/>
        <item x="31"/>
        <item x="41"/>
        <item x="58"/>
        <item x="43"/>
        <item x="51"/>
        <item x="40"/>
        <item x="67"/>
        <item x="54"/>
        <item x="96"/>
        <item x="76"/>
        <item x="86"/>
        <item x="66"/>
        <item x="97"/>
        <item x="79"/>
        <item x="77"/>
        <item x="69"/>
        <item x="68"/>
        <item x="102"/>
        <item x="87"/>
        <item x="78"/>
        <item x="95"/>
        <item x="89"/>
        <item x="88"/>
        <item x="104"/>
        <item x="103"/>
        <item x="112"/>
        <item x="110"/>
        <item x="113"/>
        <item x="111"/>
        <item x="119"/>
        <item t="default"/>
      </items>
    </pivotField>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dataFields count="1">
    <dataField name="Average of Production" fld="2"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1" xr10:uid="{62546A0D-D5C0-40DA-A861-935A4C139BE3}" sourceName="Production">
  <pivotTables>
    <pivotTable tabId="23" name="PivotTable5"/>
  </pivotTables>
  <data>
    <tabular pivotCacheId="1537084091">
      <items count="120">
        <i x="8" s="1"/>
        <i x="6" s="1"/>
        <i x="7" s="1"/>
        <i x="9" s="1"/>
        <i x="17" s="1"/>
        <i x="5" s="1"/>
        <i x="3" s="1"/>
        <i x="2" s="1"/>
        <i x="18" s="1"/>
        <i x="26" s="1"/>
        <i x="16" s="1"/>
        <i x="27" s="1"/>
        <i x="37" s="1"/>
        <i x="4" s="1"/>
        <i x="25" s="1"/>
        <i x="50" s="1"/>
        <i x="28" s="1"/>
        <i x="1" s="1"/>
        <i x="39" s="1"/>
        <i x="36" s="1"/>
        <i x="14" s="1"/>
        <i x="49" s="1"/>
        <i x="15" s="1"/>
        <i x="57" s="1"/>
        <i x="73" s="1"/>
        <i x="38" s="1"/>
        <i x="48" s="1"/>
        <i x="100" s="1"/>
        <i x="93" s="1"/>
        <i x="94" s="1"/>
        <i x="10" s="1"/>
        <i x="65" s="1"/>
        <i x="101" s="1"/>
        <i x="0" s="1"/>
        <i x="99" s="1"/>
        <i x="74" s="1"/>
        <i x="92" s="1"/>
        <i x="71" s="1"/>
        <i x="23" s="1"/>
        <i x="91" s="1"/>
        <i x="70" s="1"/>
        <i x="85" s="1"/>
        <i x="64" s="1"/>
        <i x="62" s="1"/>
        <i x="56" s="1"/>
        <i x="24" s="1"/>
        <i x="75" s="1"/>
        <i x="12" s="1"/>
        <i x="55" s="1"/>
        <i x="84" s="1"/>
        <i x="13" s="1"/>
        <i x="63" s="1"/>
        <i x="32" s="1"/>
        <i x="34" s="1"/>
        <i x="35" s="1"/>
        <i x="108" s="1"/>
        <i x="83" s="1"/>
        <i x="46" s="1"/>
        <i x="45" s="1"/>
        <i x="72" s="1"/>
        <i x="98" s="1"/>
        <i x="81" s="1"/>
        <i x="109" s="1"/>
        <i x="33" s="1"/>
        <i x="80" s="1"/>
        <i x="117" s="1"/>
        <i x="116" s="1"/>
        <i x="47" s="1"/>
        <i x="44" s="1"/>
        <i x="106" s="1"/>
        <i x="82" s="1"/>
        <i x="29" s="1"/>
        <i x="118" s="1"/>
        <i x="11" s="1"/>
        <i x="90" s="1"/>
        <i x="105" s="1"/>
        <i x="114" s="1"/>
        <i x="107" s="1"/>
        <i x="61" s="1"/>
        <i x="59" s="1"/>
        <i x="53" s="1"/>
        <i x="22" s="1"/>
        <i x="20" s="1"/>
        <i x="21" s="1"/>
        <i x="52" s="1"/>
        <i x="60" s="1"/>
        <i x="115" s="1"/>
        <i x="30" s="1"/>
        <i x="19" s="1"/>
        <i x="42" s="1"/>
        <i x="31" s="1"/>
        <i x="41" s="1"/>
        <i x="58" s="1"/>
        <i x="43" s="1"/>
        <i x="51" s="1"/>
        <i x="40" s="1"/>
        <i x="67" s="1"/>
        <i x="54" s="1"/>
        <i x="96" s="1"/>
        <i x="76" s="1"/>
        <i x="86" s="1"/>
        <i x="66" s="1"/>
        <i x="97" s="1"/>
        <i x="79" s="1"/>
        <i x="77" s="1"/>
        <i x="69" s="1"/>
        <i x="68" s="1"/>
        <i x="102" s="1"/>
        <i x="87" s="1"/>
        <i x="78" s="1"/>
        <i x="95" s="1"/>
        <i x="89" s="1"/>
        <i x="88" s="1"/>
        <i x="104" s="1"/>
        <i x="103" s="1"/>
        <i x="112" s="1"/>
        <i x="110" s="1"/>
        <i x="113" s="1"/>
        <i x="111" s="1"/>
        <i x="1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9DBF7064-B8F3-457F-910C-286188C8C146}" sourceName="Sales">
  <pivotTables>
    <pivotTable tabId="23" name="PivotTable6"/>
  </pivotTables>
  <data>
    <tabular pivotCacheId="1537084091">
      <items count="117">
        <i x="7" s="1"/>
        <i x="18" s="1"/>
        <i x="5" s="1"/>
        <i x="19" s="1"/>
        <i x="85" s="1"/>
        <i x="6" s="1"/>
        <i x="3" s="1"/>
        <i x="8" s="1"/>
        <i x="40" s="1"/>
        <i x="17" s="1"/>
        <i x="28" s="1"/>
        <i x="20" s="1"/>
        <i x="2" s="1"/>
        <i x="86" s="1"/>
        <i x="88" s="1"/>
        <i x="29" s="1"/>
        <i x="87" s="1"/>
        <i x="30" s="1"/>
        <i x="16" s="1"/>
        <i x="89" s="1"/>
        <i x="1" s="1"/>
        <i x="4" s="1"/>
        <i x="27" s="1"/>
        <i x="15" s="1"/>
        <i x="13" s="1"/>
        <i x="49" s="1"/>
        <i x="68" s="1"/>
        <i x="39" s="1"/>
        <i x="55" s="1"/>
        <i x="48" s="1"/>
        <i x="84" s="1"/>
        <i x="63" s="1"/>
        <i x="47" s="1"/>
        <i x="9" s="1"/>
        <i x="0" s="1"/>
        <i x="14" s="1"/>
        <i x="25" s="1"/>
        <i x="96" s="1"/>
        <i x="56" s="1"/>
        <i x="12" s="1"/>
        <i x="66" s="1"/>
        <i x="26" s="1"/>
        <i x="97" s="1"/>
        <i x="60" s="1"/>
        <i x="62" s="1"/>
        <i x="11" s="1"/>
        <i x="37" s="1"/>
        <i x="69" s="1"/>
        <i x="54" s="1"/>
        <i x="104" s="1"/>
        <i x="77" s="1"/>
        <i x="78" s="1"/>
        <i x="61" s="1"/>
        <i x="38" s="1"/>
        <i x="46" s="1"/>
        <i x="70" s="1"/>
        <i x="10" s="1"/>
        <i x="76" s="1"/>
        <i x="24" s="1"/>
        <i x="35" s="1"/>
        <i x="95" s="1"/>
        <i x="106" s="1"/>
        <i x="67" s="1"/>
        <i x="45" s="1"/>
        <i x="36" s="1"/>
        <i x="113" s="1"/>
        <i x="105" s="1"/>
        <i x="75" s="1"/>
        <i x="31" s="1"/>
        <i x="112" s="1"/>
        <i x="114" s="1"/>
        <i x="83" s="1"/>
        <i x="103" s="1"/>
        <i x="115" s="1"/>
        <i x="111" s="1"/>
        <i x="94" s="1"/>
        <i x="52" s="1"/>
        <i x="102" s="1"/>
        <i x="59" s="1"/>
        <i x="92" s="1"/>
        <i x="22" s="1"/>
        <i x="57" s="1"/>
        <i x="21" s="1"/>
        <i x="51" s="1"/>
        <i x="90" s="1"/>
        <i x="91" s="1"/>
        <i x="23" s="1"/>
        <i x="32" s="1"/>
        <i x="58" s="1"/>
        <i x="93" s="1"/>
        <i x="33" s="1"/>
        <i x="43" s="1"/>
        <i x="44" s="1"/>
        <i x="34" s="1"/>
        <i x="41" s="1"/>
        <i x="42" s="1"/>
        <i x="50" s="1"/>
        <i x="53" s="1"/>
        <i x="71" s="1"/>
        <i x="99" s="1"/>
        <i x="79" s="1"/>
        <i x="64" s="1"/>
        <i x="72" s="1"/>
        <i x="74" s="1"/>
        <i x="65" s="1"/>
        <i x="98" s="1"/>
        <i x="80" s="1"/>
        <i x="73" s="1"/>
        <i x="81" s="1"/>
        <i x="82" s="1"/>
        <i x="100" s="1"/>
        <i x="109" s="1"/>
        <i x="101" s="1"/>
        <i x="110" s="1"/>
        <i x="107" s="1"/>
        <i x="108" s="1"/>
        <i x="11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dp" xr10:uid="{CF51B4E8-72AD-4447-A274-061DA05C2452}" sourceName="Gdp">
  <pivotTables>
    <pivotTable tabId="23" name="PivotTable1"/>
  </pivotTables>
  <data>
    <tabular pivotCacheId="1639521886">
      <items count="155">
        <i x="49" s="1"/>
        <i x="62" s="1"/>
        <i x="78" s="1"/>
        <i x="65" s="1"/>
        <i x="52" s="1"/>
        <i x="91" s="1"/>
        <i x="39" s="1"/>
        <i x="26" s="1"/>
        <i x="104" s="1"/>
        <i x="13" s="1"/>
        <i x="36" s="1"/>
        <i x="117" s="1"/>
        <i x="0" s="1"/>
        <i x="80" s="1"/>
        <i x="40" s="1"/>
        <i x="67" s="1"/>
        <i x="130" s="1"/>
        <i x="53" s="1"/>
        <i x="54" s="1"/>
        <i x="93" s="1"/>
        <i x="66" s="1"/>
        <i x="41" s="1"/>
        <i x="27" s="1"/>
        <i x="79" s="1"/>
        <i x="106" s="1"/>
        <i x="92" s="1"/>
        <i x="143" s="1"/>
        <i x="75" s="1"/>
        <i x="105" s="1"/>
        <i x="119" s="1"/>
        <i x="14" s="1"/>
        <i x="81" s="1"/>
        <i x="28" s="1"/>
        <i x="118" s="1"/>
        <i x="94" s="1"/>
        <i x="68" s="1"/>
        <i x="107" s="1"/>
        <i x="55" s="1"/>
        <i x="1" s="1"/>
        <i x="120" s="1"/>
        <i x="131" s="1"/>
        <i x="42" s="1"/>
        <i x="132" s="1"/>
        <i x="15" s="1"/>
        <i x="144" s="1"/>
        <i x="133" s="1"/>
        <i x="29" s="1"/>
        <i x="2" s="1"/>
        <i x="145" s="1"/>
        <i x="82" s="1"/>
        <i x="95" s="1"/>
        <i x="146" s="1"/>
        <i x="83" s="1"/>
        <i x="108" s="1"/>
        <i x="16" s="1"/>
        <i x="69" s="1"/>
        <i x="121" s="1"/>
        <i x="56" s="1"/>
        <i x="134" s="1"/>
        <i x="4" s="1"/>
        <i x="17" s="1"/>
        <i x="96" s="1"/>
        <i x="30" s="1"/>
        <i x="43" s="1"/>
        <i x="70" s="1"/>
        <i x="3" s="1"/>
        <i x="147" s="1"/>
        <i x="109" s="1"/>
        <i x="57" s="1"/>
        <i x="5" s="1"/>
        <i x="18" s="1"/>
        <i x="122" s="1"/>
        <i x="31" s="1"/>
        <i x="44" s="1"/>
        <i x="135" s="1"/>
        <i x="148" s="1"/>
        <i x="84" s="1"/>
        <i x="6" s="1"/>
        <i x="88" s="1"/>
        <i x="50" s="1"/>
        <i x="97" s="1"/>
        <i x="7" s="1"/>
        <i x="85" s="1"/>
        <i x="71" s="1"/>
        <i x="19" s="1"/>
        <i x="149" s="1"/>
        <i x="110" s="1"/>
        <i x="20" s="1"/>
        <i x="72" s="1"/>
        <i x="136" s="1"/>
        <i x="58" s="1"/>
        <i x="23" s="1"/>
        <i x="63" s="1"/>
        <i x="32" s="1"/>
        <i x="123" s="1"/>
        <i x="98" s="1"/>
        <i x="33" s="1"/>
        <i x="59" s="1"/>
        <i x="45" s="1"/>
        <i x="46" s="1"/>
        <i x="76" s="1"/>
        <i x="111" s="1"/>
        <i x="86" s="1"/>
        <i x="87" s="1"/>
        <i x="101" s="1"/>
        <i x="89" s="1"/>
        <i x="73" s="1"/>
        <i x="124" s="1"/>
        <i x="100" s="1"/>
        <i x="99" s="1"/>
        <i x="74" s="1"/>
        <i x="60" s="1"/>
        <i x="137" s="1"/>
        <i x="102" s="1"/>
        <i x="47" s="1"/>
        <i x="113" s="1"/>
        <i x="61" s="1"/>
        <i x="150" s="1"/>
        <i x="34" s="1"/>
        <i x="112" s="1"/>
        <i x="142" s="1"/>
        <i x="129" s="1"/>
        <i x="21" s="1"/>
        <i x="116" s="1"/>
        <i x="126" s="1"/>
        <i x="103" s="1"/>
        <i x="114" s="1"/>
        <i x="8" s="1"/>
        <i x="115" s="1"/>
        <i x="90" s="1"/>
        <i x="48" s="1"/>
        <i x="77" s="1"/>
        <i x="37" s="1"/>
        <i x="125" s="1"/>
        <i x="64" s="1"/>
        <i x="51" s="1"/>
        <i x="35" s="1"/>
        <i x="139" s="1"/>
        <i x="138" s="1"/>
        <i x="128" s="1"/>
        <i x="22" s="1"/>
        <i x="151" s="1"/>
        <i x="152" s="1"/>
        <i x="127" s="1"/>
        <i x="9" s="1"/>
        <i x="10" s="1"/>
        <i x="38" s="1"/>
        <i x="141" s="1"/>
        <i x="140" s="1"/>
        <i x="24" s="1"/>
        <i x="153" s="1"/>
        <i x="25" s="1"/>
        <i x="154" s="1"/>
        <i x="11"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bursement" xr10:uid="{72C98951-F643-4F88-BF0F-CACB05CDF6DD}" sourceName="Disbursement">
  <pivotTables>
    <pivotTable tabId="23" name="PivotTable2"/>
  </pivotTables>
  <data>
    <tabular pivotCacheId="1639521886">
      <items count="153">
        <i x="0" s="1"/>
        <i x="13" s="1"/>
        <i x="26" s="1"/>
        <i x="39" s="1"/>
        <i x="50" s="1"/>
        <i x="63" s="1"/>
        <i x="76" s="1"/>
        <i x="89" s="1"/>
        <i x="102" s="1"/>
        <i x="115" s="1"/>
        <i x="128" s="1"/>
        <i x="141" s="1"/>
        <i x="1" s="1"/>
        <i x="14" s="1"/>
        <i x="27" s="1"/>
        <i x="40" s="1"/>
        <i x="51" s="1"/>
        <i x="64" s="1"/>
        <i x="77" s="1"/>
        <i x="90" s="1"/>
        <i x="103" s="1"/>
        <i x="116" s="1"/>
        <i x="129" s="1"/>
        <i x="142" s="1"/>
        <i x="2" s="1"/>
        <i x="15" s="1"/>
        <i x="28" s="1"/>
        <i x="41" s="1"/>
        <i x="52" s="1"/>
        <i x="65" s="1"/>
        <i x="78" s="1"/>
        <i x="91" s="1"/>
        <i x="104" s="1"/>
        <i x="117" s="1"/>
        <i x="130" s="1"/>
        <i x="143" s="1"/>
        <i x="3" s="1"/>
        <i x="16" s="1"/>
        <i x="29" s="1"/>
        <i x="42" s="1"/>
        <i x="53" s="1"/>
        <i x="66" s="1"/>
        <i x="79" s="1"/>
        <i x="92" s="1"/>
        <i x="105" s="1"/>
        <i x="118" s="1"/>
        <i x="131" s="1"/>
        <i x="144" s="1"/>
        <i x="4" s="1"/>
        <i x="17" s="1"/>
        <i x="30" s="1"/>
        <i x="54" s="1"/>
        <i x="67" s="1"/>
        <i x="80" s="1"/>
        <i x="93" s="1"/>
        <i x="106" s="1"/>
        <i x="119" s="1"/>
        <i x="132" s="1"/>
        <i x="145" s="1"/>
        <i x="5" s="1"/>
        <i x="18" s="1"/>
        <i x="31" s="1"/>
        <i x="43" s="1"/>
        <i x="55" s="1"/>
        <i x="68" s="1"/>
        <i x="81" s="1"/>
        <i x="94" s="1"/>
        <i x="107" s="1"/>
        <i x="120" s="1"/>
        <i x="133" s="1"/>
        <i x="146" s="1"/>
        <i x="6" s="1"/>
        <i x="19" s="1"/>
        <i x="32" s="1"/>
        <i x="9" s="1"/>
        <i x="22" s="1"/>
        <i x="149" s="1"/>
        <i x="136" s="1"/>
        <i x="35" s="1"/>
        <i x="123" s="1"/>
        <i x="110" s="1"/>
        <i x="46" s="1"/>
        <i x="97" s="1"/>
        <i x="59" s="1"/>
        <i x="84" s="1"/>
        <i x="71" s="1"/>
        <i x="72" s="1"/>
        <i x="58" s="1"/>
        <i x="34" s="1"/>
        <i x="85" s="1"/>
        <i x="21" s="1"/>
        <i x="98" s="1"/>
        <i x="8" s="1"/>
        <i x="44" s="1"/>
        <i x="111" s="1"/>
        <i x="124" s="1"/>
        <i x="137" s="1"/>
        <i x="150" s="1"/>
        <i x="10" s="1"/>
        <i x="148" s="1"/>
        <i x="56" s="1"/>
        <i x="135" s="1"/>
        <i x="23" s="1"/>
        <i x="69" s="1"/>
        <i x="122" s="1"/>
        <i x="109" s="1"/>
        <i x="82" s="1"/>
        <i x="36" s="1"/>
        <i x="96" s="1"/>
        <i x="95" s="1"/>
        <i x="83" s="1"/>
        <i x="47" s="1"/>
        <i x="108" s="1"/>
        <i x="70" s="1"/>
        <i x="57" s="1"/>
        <i x="121" s="1"/>
        <i x="60" s="1"/>
        <i x="45" s="1"/>
        <i x="134" s="1"/>
        <i x="33" s="1"/>
        <i x="73" s="1"/>
        <i x="147" s="1"/>
        <i x="20" s="1"/>
        <i x="7" s="1"/>
        <i x="86" s="1"/>
        <i x="99" s="1"/>
        <i x="112" s="1"/>
        <i x="125" s="1"/>
        <i x="138" s="1"/>
        <i x="151" s="1"/>
        <i x="11" s="1"/>
        <i x="24" s="1"/>
        <i x="37" s="1"/>
        <i x="48" s="1"/>
        <i x="61" s="1"/>
        <i x="74" s="1"/>
        <i x="87" s="1"/>
        <i x="100" s="1"/>
        <i x="113" s="1"/>
        <i x="126" s="1"/>
        <i x="139" s="1"/>
        <i x="152" s="1"/>
        <i x="12" s="1"/>
        <i x="25" s="1"/>
        <i x="38" s="1"/>
        <i x="49" s="1"/>
        <i x="62" s="1"/>
        <i x="75" s="1"/>
        <i x="88" s="1"/>
        <i x="101" s="1"/>
        <i x="114" s="1"/>
        <i x="127" s="1"/>
        <i x="14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est_Rate" xr10:uid="{C2E24789-C5FD-4DF5-99B8-BD6937CC820A}" sourceName="Interest Rate">
  <pivotTables>
    <pivotTable tabId="23" name="PivotTable3"/>
  </pivotTables>
  <data>
    <tabular pivotCacheId="1639521886">
      <items count="139">
        <i x="9" s="1"/>
        <i x="21" s="1"/>
        <i x="136" s="1"/>
        <i x="34" s="1"/>
        <i x="46" s="1"/>
        <i x="125" s="1"/>
        <i x="58" s="1"/>
        <i x="70" s="1"/>
        <i x="82" s="1"/>
        <i x="103" s="1"/>
        <i x="94" s="1"/>
        <i x="104" s="1"/>
        <i x="93" s="1"/>
        <i x="114" s="1"/>
        <i x="81" s="1"/>
        <i x="137" s="1"/>
        <i x="69" s="1"/>
        <i x="10" s="1"/>
        <i x="22" s="1"/>
        <i x="57" s="1"/>
        <i x="35" s="1"/>
        <i x="47" s="1"/>
        <i x="45" s="1"/>
        <i x="59" s="1"/>
        <i x="71" s="1"/>
        <i x="33" s="1"/>
        <i x="83" s="1"/>
        <i x="95" s="1"/>
        <i x="20" s="1"/>
        <i x="105" s="1"/>
        <i x="115" s="1"/>
        <i x="8" s="1"/>
        <i x="126" s="1"/>
        <i x="135" s="1"/>
        <i x="138" s="1"/>
        <i x="124" s="1"/>
        <i x="11" s="1"/>
        <i x="113" s="1"/>
        <i x="23" s="1"/>
        <i x="102" s="1"/>
        <i x="36" s="1"/>
        <i x="92" s="1"/>
        <i x="48" s="1"/>
        <i x="80" s="1"/>
        <i x="60" s="1"/>
        <i x="68" s="1"/>
        <i x="72" s="1"/>
        <i x="56" s="1"/>
        <i x="84" s="1"/>
        <i x="44" s="1"/>
        <i x="96" s="1"/>
        <i x="32" s="1"/>
        <i x="106" s="1"/>
        <i x="19" s="1"/>
        <i x="116" s="1"/>
        <i x="7" s="1"/>
        <i x="134" s="1"/>
        <i x="123" s="1"/>
        <i x="127" s="1"/>
        <i x="112" s="1"/>
        <i x="101" s="1"/>
        <i x="91" s="1"/>
        <i x="79" s="1"/>
        <i x="67" s="1"/>
        <i x="55" s="1"/>
        <i x="43" s="1"/>
        <i x="31" s="1"/>
        <i x="18" s="1"/>
        <i x="6" s="1"/>
        <i x="133" s="1"/>
        <i x="122" s="1"/>
        <i x="111" s="1"/>
        <i x="100" s="1"/>
        <i x="90" s="1"/>
        <i x="78" s="1"/>
        <i x="66" s="1"/>
        <i x="54" s="1"/>
        <i x="42" s="1"/>
        <i x="30" s="1"/>
        <i x="17" s="1"/>
        <i x="5" s="1"/>
        <i x="132" s="1"/>
        <i x="121" s="1"/>
        <i x="110" s="1"/>
        <i x="99" s="1"/>
        <i x="89" s="1"/>
        <i x="77" s="1"/>
        <i x="65" s="1"/>
        <i x="53" s="1"/>
        <i x="41" s="1"/>
        <i x="29" s="1"/>
        <i x="16" s="1"/>
        <i x="4" s="1"/>
        <i x="76" s="1"/>
        <i x="28" s="1"/>
        <i x="0" s="1"/>
        <i x="131" s="1"/>
        <i x="12" s="1"/>
        <i x="120" s="1"/>
        <i x="24" s="1"/>
        <i x="109" s="1"/>
        <i x="37" s="1"/>
        <i x="88" s="1"/>
        <i x="49" s="1"/>
        <i x="75" s="1"/>
        <i x="61" s="1"/>
        <i x="64" s="1"/>
        <i x="52" s="1"/>
        <i x="40" s="1"/>
        <i x="85" s="1"/>
        <i x="27" s="1"/>
        <i x="97" s="1"/>
        <i x="15" s="1"/>
        <i x="3" s="1"/>
        <i x="117" s="1"/>
        <i x="128" s="1"/>
        <i x="130" s="1"/>
        <i x="1" s="1"/>
        <i x="119" s="1"/>
        <i x="13" s="1"/>
        <i x="108" s="1"/>
        <i x="25" s="1"/>
        <i x="38" s="1"/>
        <i x="50" s="1"/>
        <i x="87" s="1"/>
        <i x="62" s="1"/>
        <i x="74" s="1"/>
        <i x="73" s="1"/>
        <i x="63" s="1"/>
        <i x="86" s="1"/>
        <i x="51" s="1"/>
        <i x="98" s="1"/>
        <i x="39" s="1"/>
        <i x="107" s="1"/>
        <i x="26" s="1"/>
        <i x="118" s="1"/>
        <i x="14" s="1"/>
        <i x="129"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 xr10:uid="{7A0885DA-F5A4-4144-AD09-1B6909AFBD2D}" cache="Slicer_Production1" caption="Production" startItem="21" rowHeight="241300"/>
  <slicer name="Sales" xr10:uid="{781BD987-8C5E-4837-A7B5-EE913A76ED53}" cache="Slicer_Sales" caption="Sales" startItem="15" rowHeight="241300"/>
  <slicer name="Gdp" xr10:uid="{A5F95373-B2C7-4B59-BF70-7E9C9BEE8712}" cache="Slicer_Gdp" caption="Gdp" startItem="18" rowHeight="241300"/>
  <slicer name="Disbursement" xr10:uid="{12BC2131-95F3-4DE4-AFCA-08AC34ADDF56}" cache="Slicer_Disbursement" caption="Disbursement" rowHeight="241300"/>
  <slicer name="Interest Rate" xr10:uid="{697996A8-AC18-4DFE-BAC9-4E3078706978}" cache="Slicer_Interest_Rate" caption="Interest Rate" startItem="12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 1" xr10:uid="{C483A608-B961-4BAC-8B56-563082BFDC5C}" cache="Slicer_Production1" caption="Production" startItem="42" rowHeight="241300"/>
  <slicer name="Sales 1" xr10:uid="{0AC27DEB-9176-4DF7-AD8D-62A6F78B27B8}" cache="Slicer_Sales" caption="Sales" startItem="63" rowHeight="241300"/>
  <slicer name="Gdp 1" xr10:uid="{729C1A3D-661F-401D-B285-B0218F8108A3}" cache="Slicer_Gdp" caption="Gdp" rowHeight="241300"/>
  <slicer name="Disbursement 1" xr10:uid="{9C33B94B-0CBC-4D68-9EC6-6996B44F6A19}" cache="Slicer_Disbursement" caption="Disbursement" startItem="18" rowHeight="241300"/>
  <slicer name="Interest Rate 1" xr10:uid="{C530404E-63FE-4A54-AED0-457E75F4DC8B}" cache="Slicer_Interest_Rate" caption="Interest Rate" startItem="11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E936BF-6690-4A30-B6AE-35B255D39C5E}" name="Table13" displayName="Table13" ref="A1:H156" totalsRowShown="0" dataDxfId="39" tableBorderDxfId="38">
  <autoFilter ref="A1:H156" xr:uid="{0C956CB7-CA57-44BB-8E4A-12F62B2F9428}"/>
  <sortState xmlns:xlrd2="http://schemas.microsoft.com/office/spreadsheetml/2017/richdata2" ref="A2:H156">
    <sortCondition ref="A1:A156"/>
  </sortState>
  <tableColumns count="8">
    <tableColumn id="1" xr3:uid="{548855A7-8BB5-4480-8859-EFA0A2B888B5}" name="Month" dataDxfId="37"/>
    <tableColumn id="3" xr3:uid="{A523BF3D-0D06-4E91-A953-79075409DFBB}" name="Production" dataDxfId="36"/>
    <tableColumn id="4" xr3:uid="{C2D275CE-3E35-4927-94AD-F2B8178D1648}" name="Sales" dataDxfId="35"/>
    <tableColumn id="5" xr3:uid="{90ED4724-6AF2-44C6-8F7D-8717F0DF7792}" name="Demand" dataDxfId="34"/>
    <tableColumn id="6" xr3:uid="{FA63453A-FE3B-410F-95C9-5F42DAD4744D}" name="Population" dataDxfId="33"/>
    <tableColumn id="7" xr3:uid="{6ABAD5C9-7F00-4E09-8C4C-FE2680B5C15E}" name="Gdp" dataDxfId="32"/>
    <tableColumn id="8" xr3:uid="{6BBB9FD2-A6E8-489B-8505-DF033567F237}" name="Disbursement" dataDxfId="31"/>
    <tableColumn id="9" xr3:uid="{79934E04-60F9-4F03-9633-453BDBA046B9}" name="Interest Rate" dataDxfId="30"/>
  </tableColumns>
  <tableStyleInfo name="TableStyleMedium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4EAA5B-6650-43A6-BF87-F75E54535A24}" name="Table57" displayName="Table57" ref="A1:H156" totalsRowShown="0" dataDxfId="29" tableBorderDxfId="28">
  <autoFilter ref="A1:H156" xr:uid="{C82B2BD1-0B06-4653-BAEB-B686D5FC5747}"/>
  <tableColumns count="8">
    <tableColumn id="1" xr3:uid="{AF79B219-4645-45D9-847B-B795A9325049}" name="Months" dataDxfId="27"/>
    <tableColumn id="2" xr3:uid="{C237BFE9-99FA-4A45-83F8-CAB2714ED50F}" name="Production" dataDxfId="26"/>
    <tableColumn id="9" xr3:uid="{B4DE6B1F-4574-4D8A-B95B-F8D39010F620}" name="Sales" dataDxfId="25"/>
    <tableColumn id="10" xr3:uid="{BAA5DCC2-5734-4534-9E68-FECBE95CC547}" name="Demand" dataDxfId="24"/>
    <tableColumn id="5" xr3:uid="{5572CAE2-EB96-44F7-8D00-496098AF98CF}" name="Population" dataDxfId="23"/>
    <tableColumn id="6" xr3:uid="{51BA4EED-42B1-4EE9-8211-BE7280A1389D}" name="Gdp" dataDxfId="22"/>
    <tableColumn id="7" xr3:uid="{BA6D4EC2-6F8C-40C1-B86F-3D942B0D6F64}" name="Disbursement" dataDxfId="21"/>
    <tableColumn id="8" xr3:uid="{F9B0054D-4AEC-463A-A382-9D6DEFD15EAC}" name="Interestrate" dataDxfId="20"/>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1EFC31-5A95-4083-9780-BAEF11D729C4}" name="Table4" displayName="Table4" ref="A1:H156" totalsRowShown="0" dataDxfId="19" tableBorderDxfId="18">
  <autoFilter ref="A1:H156" xr:uid="{F01EFC31-5A95-4083-9780-BAEF11D729C4}"/>
  <tableColumns count="8">
    <tableColumn id="1" xr3:uid="{EF4F9E94-BA0A-4CC1-A140-DC752E7BD8AC}" name="Month" dataDxfId="17"/>
    <tableColumn id="3" xr3:uid="{C7D82A1E-9541-4853-A624-74B62799691B}" name="Sales" dataDxfId="16"/>
    <tableColumn id="8" xr3:uid="{645E68F7-06D0-484C-A083-9923742017DB}" name="Production" dataDxfId="15"/>
    <tableColumn id="10" xr3:uid="{6137412D-756C-48E1-A58A-D4009B30C3D7}" name="Demand" dataDxfId="14"/>
    <tableColumn id="4" xr3:uid="{F7173F4E-1DB8-4393-909E-840597FF6E67}" name="Population" dataDxfId="13"/>
    <tableColumn id="5" xr3:uid="{10F16B7C-CA68-4C78-ADE1-7151A67E994E}" name="Gdp" dataDxfId="12"/>
    <tableColumn id="6" xr3:uid="{7D5587A2-38C4-49E5-A02C-D57780BA98F5}" name="Disbursement" dataDxfId="11"/>
    <tableColumn id="7" xr3:uid="{8DF8C7C0-B254-4005-AA14-88BA8257D475}" name="Interestrate" dataDxfId="10"/>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FF99AB-DB57-491C-814C-5405FE4F0133}" name="Table5" displayName="Table5" ref="A1:H156" totalsRowShown="0" dataDxfId="9" tableBorderDxfId="8">
  <autoFilter ref="A1:H156" xr:uid="{DDFF99AB-DB57-491C-814C-5405FE4F0133}"/>
  <tableColumns count="8">
    <tableColumn id="1" xr3:uid="{0A6A07A2-72FF-4F55-89F3-018BB12EF2A0}" name="Month" dataDxfId="7"/>
    <tableColumn id="8" xr3:uid="{44D75CD3-E4B7-48E5-902D-FC4B78C2EC45}" name="Demand" dataDxfId="6"/>
    <tableColumn id="2" xr3:uid="{0F05FB3F-1EDA-47F5-8D13-5D00AE625496}" name="Sales" dataDxfId="5"/>
    <tableColumn id="3" xr3:uid="{A3FBE0A8-1B10-4E2C-B4EC-8DEF83161CE8}" name="Production" dataDxfId="4"/>
    <tableColumn id="4" xr3:uid="{DCB275DF-0C75-4EA9-A20A-88518BCAD286}" name="Population" dataDxfId="3"/>
    <tableColumn id="5" xr3:uid="{06F06A7C-6C84-49D7-85CB-181E35D3D3CF}" name="Gdp" dataDxfId="2"/>
    <tableColumn id="6" xr3:uid="{F08B508E-836D-42EF-AE4D-683DD1F18BDE}" name="Disbursement" dataDxfId="1"/>
    <tableColumn id="7" xr3:uid="{000798F5-613F-47AC-9DBE-556454B2B196}" name="Interestrate"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38202-8C4D-44CA-B4DC-EEDDA5192483}">
  <dimension ref="A1:H156"/>
  <sheetViews>
    <sheetView zoomScale="74" zoomScaleNormal="74" workbookViewId="0">
      <selection activeCell="D2" sqref="D2"/>
    </sheetView>
  </sheetViews>
  <sheetFormatPr defaultRowHeight="14.5" x14ac:dyDescent="0.35"/>
  <cols>
    <col min="1" max="1" width="10.26953125" customWidth="1"/>
    <col min="2" max="2" width="13.36328125" customWidth="1"/>
    <col min="3" max="4" width="10.26953125" customWidth="1"/>
    <col min="5" max="5" width="21" customWidth="1"/>
    <col min="6" max="6" width="14" customWidth="1"/>
    <col min="7" max="7" width="22.453125" customWidth="1"/>
    <col min="8" max="8" width="15.81640625" customWidth="1"/>
  </cols>
  <sheetData>
    <row r="1" spans="1:8" x14ac:dyDescent="0.35">
      <c r="A1" t="s">
        <v>53</v>
      </c>
      <c r="B1" t="s">
        <v>0</v>
      </c>
      <c r="C1" t="s">
        <v>20</v>
      </c>
      <c r="D1" t="s">
        <v>1</v>
      </c>
      <c r="E1" t="s">
        <v>2</v>
      </c>
      <c r="F1" t="s">
        <v>3</v>
      </c>
      <c r="G1" t="s">
        <v>21</v>
      </c>
      <c r="H1" t="s">
        <v>52</v>
      </c>
    </row>
    <row r="2" spans="1:8" x14ac:dyDescent="0.35">
      <c r="A2" s="19">
        <v>45667</v>
      </c>
      <c r="B2">
        <v>347</v>
      </c>
      <c r="C2">
        <v>322</v>
      </c>
      <c r="D2">
        <v>346</v>
      </c>
      <c r="E2">
        <v>122.4</v>
      </c>
      <c r="F2">
        <v>182277</v>
      </c>
      <c r="G2">
        <v>60314</v>
      </c>
      <c r="H2">
        <v>10.25</v>
      </c>
    </row>
    <row r="3" spans="1:8" x14ac:dyDescent="0.35">
      <c r="A3" s="19">
        <v>45668</v>
      </c>
      <c r="B3">
        <v>391</v>
      </c>
      <c r="C3">
        <v>374</v>
      </c>
      <c r="D3">
        <v>354</v>
      </c>
      <c r="E3">
        <v>124.1</v>
      </c>
      <c r="F3">
        <v>198039</v>
      </c>
      <c r="G3">
        <v>71113</v>
      </c>
      <c r="H3">
        <v>11.25</v>
      </c>
    </row>
    <row r="4" spans="1:8" x14ac:dyDescent="0.35">
      <c r="A4" s="19">
        <v>45669</v>
      </c>
      <c r="B4">
        <v>560</v>
      </c>
      <c r="C4">
        <v>565</v>
      </c>
      <c r="D4">
        <v>570</v>
      </c>
      <c r="E4">
        <v>125.8</v>
      </c>
      <c r="F4">
        <v>204132.99</v>
      </c>
      <c r="G4">
        <v>82452</v>
      </c>
      <c r="H4">
        <v>13.25</v>
      </c>
    </row>
    <row r="5" spans="1:8" x14ac:dyDescent="0.35">
      <c r="A5" s="19">
        <v>45670</v>
      </c>
      <c r="B5">
        <v>591</v>
      </c>
      <c r="C5">
        <v>580</v>
      </c>
      <c r="D5">
        <v>580</v>
      </c>
      <c r="E5">
        <v>127.4</v>
      </c>
      <c r="F5">
        <v>209977.98</v>
      </c>
      <c r="G5">
        <v>92455</v>
      </c>
      <c r="H5">
        <v>11</v>
      </c>
    </row>
    <row r="6" spans="1:8" x14ac:dyDescent="0.35">
      <c r="A6" s="19">
        <v>45671</v>
      </c>
      <c r="B6">
        <v>592</v>
      </c>
      <c r="C6">
        <v>584</v>
      </c>
      <c r="D6">
        <v>600</v>
      </c>
      <c r="E6">
        <v>129.1</v>
      </c>
      <c r="F6">
        <v>209126.97</v>
      </c>
      <c r="G6">
        <v>105780</v>
      </c>
      <c r="H6">
        <v>10.25</v>
      </c>
    </row>
    <row r="7" spans="1:8" x14ac:dyDescent="0.35">
      <c r="A7" s="19">
        <v>45672</v>
      </c>
      <c r="B7">
        <v>531</v>
      </c>
      <c r="C7">
        <v>503</v>
      </c>
      <c r="D7">
        <v>531</v>
      </c>
      <c r="E7">
        <v>130.69999999999999</v>
      </c>
      <c r="F7">
        <v>214179.97200000001</v>
      </c>
      <c r="G7">
        <v>110374</v>
      </c>
      <c r="H7">
        <v>10.220000000000001</v>
      </c>
    </row>
    <row r="8" spans="1:8" x14ac:dyDescent="0.35">
      <c r="A8" s="19">
        <v>45673</v>
      </c>
      <c r="B8">
        <v>583</v>
      </c>
      <c r="C8">
        <v>574</v>
      </c>
      <c r="D8">
        <v>575</v>
      </c>
      <c r="E8">
        <v>132.30000000000001</v>
      </c>
      <c r="F8">
        <v>224842.98300000001</v>
      </c>
      <c r="G8">
        <v>145384</v>
      </c>
      <c r="H8">
        <v>9.4</v>
      </c>
    </row>
    <row r="9" spans="1:8" x14ac:dyDescent="0.35">
      <c r="A9" s="19">
        <v>45674</v>
      </c>
      <c r="B9">
        <v>721</v>
      </c>
      <c r="C9">
        <v>700</v>
      </c>
      <c r="D9">
        <v>708</v>
      </c>
      <c r="E9">
        <v>133.9</v>
      </c>
      <c r="F9">
        <v>226631.973</v>
      </c>
      <c r="G9">
        <v>171227</v>
      </c>
      <c r="H9">
        <v>9</v>
      </c>
    </row>
    <row r="10" spans="1:8" x14ac:dyDescent="0.35">
      <c r="A10" s="19">
        <v>45675</v>
      </c>
      <c r="B10">
        <v>755</v>
      </c>
      <c r="C10">
        <v>734</v>
      </c>
      <c r="D10">
        <v>783</v>
      </c>
      <c r="E10">
        <v>135.4</v>
      </c>
      <c r="F10">
        <v>258265.962</v>
      </c>
      <c r="G10">
        <v>151837.04</v>
      </c>
      <c r="H10">
        <v>8.5</v>
      </c>
    </row>
    <row r="11" spans="1:8" x14ac:dyDescent="0.35">
      <c r="A11" s="19">
        <v>45676</v>
      </c>
      <c r="B11">
        <v>791</v>
      </c>
      <c r="C11">
        <v>771</v>
      </c>
      <c r="D11">
        <v>764</v>
      </c>
      <c r="E11">
        <v>136.9</v>
      </c>
      <c r="F11">
        <v>275227.962</v>
      </c>
      <c r="G11">
        <v>150337</v>
      </c>
      <c r="H11">
        <v>8</v>
      </c>
    </row>
    <row r="12" spans="1:8" x14ac:dyDescent="0.35">
      <c r="A12" s="19">
        <v>45677</v>
      </c>
      <c r="B12">
        <v>675</v>
      </c>
      <c r="C12">
        <v>514</v>
      </c>
      <c r="D12">
        <v>686</v>
      </c>
      <c r="E12">
        <v>138.30000000000001</v>
      </c>
      <c r="F12">
        <v>280450.95299999998</v>
      </c>
      <c r="G12">
        <v>152902</v>
      </c>
      <c r="H12">
        <v>7</v>
      </c>
    </row>
    <row r="13" spans="1:8" x14ac:dyDescent="0.35">
      <c r="A13" s="19">
        <v>45678</v>
      </c>
      <c r="B13">
        <v>821</v>
      </c>
      <c r="C13">
        <v>809</v>
      </c>
      <c r="D13">
        <v>810</v>
      </c>
      <c r="E13">
        <v>139.6</v>
      </c>
      <c r="F13">
        <v>331749.033</v>
      </c>
      <c r="G13">
        <v>190710</v>
      </c>
      <c r="H13">
        <v>7.6</v>
      </c>
    </row>
    <row r="14" spans="1:8" x14ac:dyDescent="0.35">
      <c r="A14" s="19">
        <v>45679</v>
      </c>
      <c r="B14">
        <v>825</v>
      </c>
      <c r="C14">
        <v>823</v>
      </c>
      <c r="D14">
        <v>835</v>
      </c>
      <c r="E14">
        <v>140.80000000000001</v>
      </c>
      <c r="F14">
        <v>338282.98</v>
      </c>
      <c r="G14">
        <v>215502.57</v>
      </c>
      <c r="H14">
        <v>8.1</v>
      </c>
    </row>
    <row r="15" spans="1:8" x14ac:dyDescent="0.35">
      <c r="A15" s="19">
        <v>45698</v>
      </c>
      <c r="B15">
        <v>306</v>
      </c>
      <c r="C15">
        <v>285</v>
      </c>
      <c r="D15">
        <v>338</v>
      </c>
      <c r="E15">
        <v>122.5</v>
      </c>
      <c r="F15">
        <v>181018</v>
      </c>
      <c r="G15">
        <v>61213.919999999998</v>
      </c>
      <c r="H15">
        <v>10.33</v>
      </c>
    </row>
    <row r="16" spans="1:8" x14ac:dyDescent="0.35">
      <c r="A16" s="19">
        <v>45699</v>
      </c>
      <c r="B16">
        <v>397</v>
      </c>
      <c r="C16">
        <v>344</v>
      </c>
      <c r="D16">
        <v>378</v>
      </c>
      <c r="E16">
        <v>124.2</v>
      </c>
      <c r="F16">
        <v>194285</v>
      </c>
      <c r="G16">
        <v>72057.919999999998</v>
      </c>
      <c r="H16">
        <v>11.42</v>
      </c>
    </row>
    <row r="17" spans="1:8" x14ac:dyDescent="0.35">
      <c r="A17" s="19">
        <v>45700</v>
      </c>
      <c r="B17">
        <v>538</v>
      </c>
      <c r="C17">
        <v>523</v>
      </c>
      <c r="D17">
        <v>532</v>
      </c>
      <c r="E17">
        <v>125.9</v>
      </c>
      <c r="F17">
        <v>199377.32</v>
      </c>
      <c r="G17">
        <v>83285.58</v>
      </c>
      <c r="H17">
        <v>13.06</v>
      </c>
    </row>
    <row r="18" spans="1:8" x14ac:dyDescent="0.35">
      <c r="A18" s="19">
        <v>45701</v>
      </c>
      <c r="B18">
        <v>593</v>
      </c>
      <c r="C18">
        <v>591</v>
      </c>
      <c r="D18">
        <v>591</v>
      </c>
      <c r="E18">
        <v>127.6</v>
      </c>
      <c r="F18">
        <v>206223.98</v>
      </c>
      <c r="G18">
        <v>93565.42</v>
      </c>
      <c r="H18">
        <v>10.94</v>
      </c>
    </row>
    <row r="19" spans="1:8" x14ac:dyDescent="0.35">
      <c r="A19" s="19">
        <v>45702</v>
      </c>
      <c r="B19">
        <v>611</v>
      </c>
      <c r="C19">
        <v>590</v>
      </c>
      <c r="D19">
        <v>600</v>
      </c>
      <c r="E19">
        <v>129.19999999999999</v>
      </c>
      <c r="F19">
        <v>209277.64</v>
      </c>
      <c r="G19">
        <v>106162.84</v>
      </c>
      <c r="H19">
        <v>10.25</v>
      </c>
    </row>
    <row r="20" spans="1:8" x14ac:dyDescent="0.35">
      <c r="A20" s="19">
        <v>45703</v>
      </c>
      <c r="B20">
        <v>663</v>
      </c>
      <c r="C20">
        <v>651</v>
      </c>
      <c r="D20">
        <v>384.6</v>
      </c>
      <c r="E20">
        <v>130.9</v>
      </c>
      <c r="F20">
        <v>215537.639</v>
      </c>
      <c r="G20">
        <v>113291.5</v>
      </c>
      <c r="H20">
        <v>10.15</v>
      </c>
    </row>
    <row r="21" spans="1:8" x14ac:dyDescent="0.35">
      <c r="A21" s="19">
        <v>45704</v>
      </c>
      <c r="B21">
        <v>520</v>
      </c>
      <c r="C21">
        <v>512</v>
      </c>
      <c r="D21">
        <v>512</v>
      </c>
      <c r="E21">
        <v>132.4</v>
      </c>
      <c r="F21">
        <v>228075.65</v>
      </c>
      <c r="G21">
        <v>147537.57999999999</v>
      </c>
      <c r="H21">
        <v>9.3699999999999992</v>
      </c>
    </row>
    <row r="22" spans="1:8" x14ac:dyDescent="0.35">
      <c r="A22" s="19">
        <v>45705</v>
      </c>
      <c r="B22">
        <v>705</v>
      </c>
      <c r="C22">
        <v>700</v>
      </c>
      <c r="D22">
        <v>702</v>
      </c>
      <c r="E22">
        <v>134</v>
      </c>
      <c r="F22">
        <v>229554.973</v>
      </c>
      <c r="G22">
        <v>169611.17</v>
      </c>
      <c r="H22">
        <v>8.9600000000000009</v>
      </c>
    </row>
    <row r="23" spans="1:8" x14ac:dyDescent="0.35">
      <c r="A23" s="19">
        <v>45706</v>
      </c>
      <c r="B23">
        <v>701</v>
      </c>
      <c r="C23">
        <v>689</v>
      </c>
      <c r="D23">
        <v>722</v>
      </c>
      <c r="E23">
        <v>135.5</v>
      </c>
      <c r="F23">
        <v>255961.962</v>
      </c>
      <c r="G23">
        <v>151712.04</v>
      </c>
      <c r="H23">
        <v>8.4600000000000009</v>
      </c>
    </row>
    <row r="24" spans="1:8" x14ac:dyDescent="0.35">
      <c r="A24" s="19">
        <v>45707</v>
      </c>
      <c r="B24">
        <v>777</v>
      </c>
      <c r="C24">
        <v>786</v>
      </c>
      <c r="D24">
        <v>787</v>
      </c>
      <c r="E24">
        <v>137</v>
      </c>
      <c r="F24">
        <v>270061.29200000002</v>
      </c>
      <c r="G24">
        <v>150550.75</v>
      </c>
      <c r="H24">
        <v>7.92</v>
      </c>
    </row>
    <row r="25" spans="1:8" x14ac:dyDescent="0.35">
      <c r="A25" s="19">
        <v>45708</v>
      </c>
      <c r="B25">
        <v>700</v>
      </c>
      <c r="C25">
        <v>578</v>
      </c>
      <c r="D25">
        <v>684</v>
      </c>
      <c r="E25">
        <v>138.4</v>
      </c>
      <c r="F25">
        <v>230779.65299999999</v>
      </c>
      <c r="G25">
        <v>156052.67000000001</v>
      </c>
      <c r="H25">
        <v>7.05</v>
      </c>
    </row>
    <row r="26" spans="1:8" x14ac:dyDescent="0.35">
      <c r="A26" s="19">
        <v>45709</v>
      </c>
      <c r="B26">
        <v>811</v>
      </c>
      <c r="C26">
        <v>829</v>
      </c>
      <c r="D26">
        <v>802</v>
      </c>
      <c r="E26">
        <v>139.69999999999999</v>
      </c>
      <c r="F26">
        <v>296221.43300000002</v>
      </c>
      <c r="G26">
        <v>192776.05</v>
      </c>
      <c r="H26">
        <v>7.64</v>
      </c>
    </row>
    <row r="27" spans="1:8" x14ac:dyDescent="0.35">
      <c r="A27" s="19">
        <v>45710</v>
      </c>
      <c r="B27">
        <v>848</v>
      </c>
      <c r="C27">
        <v>836</v>
      </c>
      <c r="D27">
        <v>853</v>
      </c>
      <c r="E27">
        <v>140.80000000000001</v>
      </c>
      <c r="F27">
        <v>313161.38</v>
      </c>
      <c r="G27">
        <v>217568.62</v>
      </c>
      <c r="H27">
        <v>8.14</v>
      </c>
    </row>
    <row r="28" spans="1:8" x14ac:dyDescent="0.35">
      <c r="A28" s="19">
        <v>45726</v>
      </c>
      <c r="B28">
        <v>236</v>
      </c>
      <c r="C28">
        <v>245</v>
      </c>
      <c r="D28">
        <v>276</v>
      </c>
      <c r="E28">
        <v>122.6</v>
      </c>
      <c r="F28">
        <v>179759</v>
      </c>
      <c r="G28">
        <v>62113.83</v>
      </c>
      <c r="H28">
        <v>10.42</v>
      </c>
    </row>
    <row r="29" spans="1:8" x14ac:dyDescent="0.35">
      <c r="A29" s="19">
        <v>45727</v>
      </c>
      <c r="B29">
        <v>306</v>
      </c>
      <c r="C29">
        <v>300</v>
      </c>
      <c r="D29">
        <v>325</v>
      </c>
      <c r="E29">
        <v>124.3</v>
      </c>
      <c r="F29">
        <v>190531</v>
      </c>
      <c r="G29">
        <v>73002.83</v>
      </c>
      <c r="H29">
        <v>11.58</v>
      </c>
    </row>
    <row r="30" spans="1:8" x14ac:dyDescent="0.35">
      <c r="A30" s="19">
        <v>45728</v>
      </c>
      <c r="B30">
        <v>347</v>
      </c>
      <c r="C30">
        <v>403</v>
      </c>
      <c r="D30">
        <v>386</v>
      </c>
      <c r="E30">
        <v>126</v>
      </c>
      <c r="F30">
        <v>194621.65</v>
      </c>
      <c r="G30">
        <v>84119.17</v>
      </c>
      <c r="H30">
        <v>12.88</v>
      </c>
    </row>
    <row r="31" spans="1:8" x14ac:dyDescent="0.35">
      <c r="A31" s="19">
        <v>45729</v>
      </c>
      <c r="B31">
        <v>400</v>
      </c>
      <c r="C31">
        <v>404</v>
      </c>
      <c r="D31">
        <v>403</v>
      </c>
      <c r="E31">
        <v>127.7</v>
      </c>
      <c r="F31">
        <v>202469.98</v>
      </c>
      <c r="G31">
        <v>94675.83</v>
      </c>
      <c r="H31">
        <v>10.88</v>
      </c>
    </row>
    <row r="32" spans="1:8" x14ac:dyDescent="0.35">
      <c r="A32" s="19">
        <v>45730</v>
      </c>
      <c r="B32">
        <v>437</v>
      </c>
      <c r="C32">
        <v>412</v>
      </c>
      <c r="D32">
        <v>422</v>
      </c>
      <c r="E32">
        <v>129.4</v>
      </c>
      <c r="F32">
        <v>209428.31</v>
      </c>
      <c r="G32">
        <v>106545.67</v>
      </c>
      <c r="H32">
        <v>10.24</v>
      </c>
    </row>
    <row r="33" spans="1:8" x14ac:dyDescent="0.35">
      <c r="A33" s="19">
        <v>45731</v>
      </c>
      <c r="B33">
        <v>400</v>
      </c>
      <c r="C33">
        <v>380</v>
      </c>
      <c r="D33">
        <v>374.6</v>
      </c>
      <c r="E33">
        <v>131</v>
      </c>
      <c r="F33">
        <v>216895.30600000001</v>
      </c>
      <c r="G33">
        <v>116209</v>
      </c>
      <c r="H33">
        <v>10.08</v>
      </c>
    </row>
    <row r="34" spans="1:8" x14ac:dyDescent="0.35">
      <c r="A34" s="19">
        <v>45732</v>
      </c>
      <c r="B34">
        <v>381</v>
      </c>
      <c r="C34">
        <v>322</v>
      </c>
      <c r="D34">
        <v>372</v>
      </c>
      <c r="E34">
        <v>132.5</v>
      </c>
      <c r="F34">
        <v>231308.31700000001</v>
      </c>
      <c r="G34">
        <v>149691.17000000001</v>
      </c>
      <c r="H34">
        <v>9.33</v>
      </c>
    </row>
    <row r="35" spans="1:8" x14ac:dyDescent="0.35">
      <c r="A35" s="19">
        <v>45733</v>
      </c>
      <c r="B35">
        <v>380</v>
      </c>
      <c r="C35">
        <v>350</v>
      </c>
      <c r="D35">
        <v>354</v>
      </c>
      <c r="E35">
        <v>134.1</v>
      </c>
      <c r="F35">
        <v>232477.973</v>
      </c>
      <c r="G35">
        <v>167995.34</v>
      </c>
      <c r="H35">
        <v>8.92</v>
      </c>
    </row>
    <row r="36" spans="1:8" x14ac:dyDescent="0.35">
      <c r="A36" s="19">
        <v>45734</v>
      </c>
      <c r="B36">
        <v>429</v>
      </c>
      <c r="C36">
        <v>421</v>
      </c>
      <c r="D36">
        <v>449</v>
      </c>
      <c r="E36">
        <v>135.69999999999999</v>
      </c>
      <c r="F36">
        <v>253657.962</v>
      </c>
      <c r="G36">
        <v>151587.04</v>
      </c>
      <c r="H36">
        <v>8.42</v>
      </c>
    </row>
    <row r="37" spans="1:8" x14ac:dyDescent="0.35">
      <c r="A37" s="19">
        <v>45735</v>
      </c>
      <c r="B37">
        <v>445</v>
      </c>
      <c r="C37">
        <v>434</v>
      </c>
      <c r="D37">
        <v>343</v>
      </c>
      <c r="E37">
        <v>137.1</v>
      </c>
      <c r="F37">
        <v>264894.62199999997</v>
      </c>
      <c r="G37">
        <v>150764.5</v>
      </c>
      <c r="H37">
        <v>7.83</v>
      </c>
    </row>
    <row r="38" spans="1:8" x14ac:dyDescent="0.35">
      <c r="A38" s="19">
        <v>45736</v>
      </c>
      <c r="B38">
        <v>419</v>
      </c>
      <c r="C38">
        <v>500</v>
      </c>
      <c r="D38">
        <v>486</v>
      </c>
      <c r="E38">
        <v>138.5</v>
      </c>
      <c r="F38">
        <v>181108.353</v>
      </c>
      <c r="G38">
        <v>159203.32999999999</v>
      </c>
      <c r="H38">
        <v>7.1</v>
      </c>
    </row>
    <row r="39" spans="1:8" x14ac:dyDescent="0.35">
      <c r="A39" s="19">
        <v>45737</v>
      </c>
      <c r="B39">
        <v>467</v>
      </c>
      <c r="C39">
        <v>511</v>
      </c>
      <c r="D39">
        <v>524</v>
      </c>
      <c r="E39">
        <v>139.80000000000001</v>
      </c>
      <c r="F39">
        <v>260693.83300000001</v>
      </c>
      <c r="G39">
        <v>194842.1</v>
      </c>
      <c r="H39">
        <v>7.68</v>
      </c>
    </row>
    <row r="40" spans="1:8" x14ac:dyDescent="0.35">
      <c r="A40" s="19">
        <v>45738</v>
      </c>
      <c r="B40">
        <v>531</v>
      </c>
      <c r="C40">
        <v>514</v>
      </c>
      <c r="D40">
        <v>625</v>
      </c>
      <c r="E40">
        <v>140.9</v>
      </c>
      <c r="F40">
        <v>288039.67999999999</v>
      </c>
      <c r="G40">
        <v>219634.66</v>
      </c>
      <c r="H40">
        <v>8.18</v>
      </c>
    </row>
    <row r="41" spans="1:8" x14ac:dyDescent="0.35">
      <c r="A41" s="19">
        <v>45757</v>
      </c>
      <c r="B41">
        <v>234</v>
      </c>
      <c r="C41">
        <v>212</v>
      </c>
      <c r="D41">
        <v>245</v>
      </c>
      <c r="E41">
        <v>122.8</v>
      </c>
      <c r="F41">
        <v>178500</v>
      </c>
      <c r="G41">
        <v>63013.75</v>
      </c>
      <c r="H41">
        <v>10.5</v>
      </c>
    </row>
    <row r="42" spans="1:8" x14ac:dyDescent="0.35">
      <c r="A42" s="19">
        <v>45758</v>
      </c>
      <c r="B42">
        <v>313</v>
      </c>
      <c r="C42">
        <v>323</v>
      </c>
      <c r="D42">
        <v>336</v>
      </c>
      <c r="E42">
        <v>124.5</v>
      </c>
      <c r="F42">
        <v>186777</v>
      </c>
      <c r="G42">
        <v>73947.75</v>
      </c>
      <c r="H42">
        <v>11.75</v>
      </c>
    </row>
    <row r="43" spans="1:8" x14ac:dyDescent="0.35">
      <c r="A43" s="19">
        <v>45759</v>
      </c>
      <c r="B43">
        <v>366</v>
      </c>
      <c r="C43">
        <v>334</v>
      </c>
      <c r="D43">
        <v>353</v>
      </c>
      <c r="E43">
        <v>126.2</v>
      </c>
      <c r="F43">
        <v>189865.98</v>
      </c>
      <c r="G43">
        <v>84952.75</v>
      </c>
      <c r="H43">
        <v>12.69</v>
      </c>
    </row>
    <row r="44" spans="1:8" x14ac:dyDescent="0.35">
      <c r="A44" s="19">
        <v>45760</v>
      </c>
      <c r="B44">
        <v>425</v>
      </c>
      <c r="C44">
        <v>414</v>
      </c>
      <c r="D44">
        <v>419</v>
      </c>
      <c r="E44">
        <v>127.9</v>
      </c>
      <c r="F44">
        <v>198715.98</v>
      </c>
      <c r="G44">
        <v>95786.25</v>
      </c>
      <c r="H44">
        <v>10.81</v>
      </c>
    </row>
    <row r="45" spans="1:8" x14ac:dyDescent="0.35">
      <c r="A45" s="19">
        <v>45761</v>
      </c>
      <c r="B45">
        <v>413</v>
      </c>
      <c r="C45">
        <v>403</v>
      </c>
      <c r="D45">
        <v>408</v>
      </c>
      <c r="E45">
        <v>129.5</v>
      </c>
      <c r="F45">
        <v>209578.98</v>
      </c>
      <c r="G45">
        <v>106545.67</v>
      </c>
      <c r="H45">
        <v>10.24</v>
      </c>
    </row>
    <row r="46" spans="1:8" x14ac:dyDescent="0.35">
      <c r="A46" s="19">
        <v>45762</v>
      </c>
      <c r="B46">
        <v>392</v>
      </c>
      <c r="C46">
        <v>380</v>
      </c>
      <c r="D46">
        <v>364.7</v>
      </c>
      <c r="E46">
        <v>131.1</v>
      </c>
      <c r="F46">
        <v>218252.973</v>
      </c>
      <c r="G46">
        <v>119126.5</v>
      </c>
      <c r="H46">
        <v>10.01</v>
      </c>
    </row>
    <row r="47" spans="1:8" x14ac:dyDescent="0.35">
      <c r="A47" s="19">
        <v>45763</v>
      </c>
      <c r="B47">
        <v>399</v>
      </c>
      <c r="C47">
        <v>356</v>
      </c>
      <c r="D47">
        <v>369</v>
      </c>
      <c r="E47">
        <v>132.69999999999999</v>
      </c>
      <c r="F47">
        <v>234540.984</v>
      </c>
      <c r="G47">
        <v>151844.75</v>
      </c>
      <c r="H47">
        <v>9.3000000000000007</v>
      </c>
    </row>
    <row r="48" spans="1:8" x14ac:dyDescent="0.35">
      <c r="A48" s="19">
        <v>45764</v>
      </c>
      <c r="B48">
        <v>370</v>
      </c>
      <c r="C48">
        <v>348</v>
      </c>
      <c r="D48">
        <v>345</v>
      </c>
      <c r="E48">
        <v>134.19999999999999</v>
      </c>
      <c r="F48">
        <v>235400.973</v>
      </c>
      <c r="G48">
        <v>166379.51</v>
      </c>
      <c r="H48">
        <v>8.8699999999999992</v>
      </c>
    </row>
    <row r="49" spans="1:8" x14ac:dyDescent="0.35">
      <c r="A49" s="19">
        <v>45765</v>
      </c>
      <c r="B49">
        <v>422</v>
      </c>
      <c r="C49">
        <v>414</v>
      </c>
      <c r="D49">
        <v>448</v>
      </c>
      <c r="E49">
        <v>135.80000000000001</v>
      </c>
      <c r="F49">
        <v>251353.962</v>
      </c>
      <c r="G49">
        <v>151587.04</v>
      </c>
      <c r="H49">
        <v>8.3699999999999992</v>
      </c>
    </row>
    <row r="50" spans="1:8" x14ac:dyDescent="0.35">
      <c r="A50" s="19">
        <v>45766</v>
      </c>
      <c r="B50">
        <v>464</v>
      </c>
      <c r="C50">
        <v>311</v>
      </c>
      <c r="D50">
        <v>453</v>
      </c>
      <c r="E50">
        <v>137.30000000000001</v>
      </c>
      <c r="F50">
        <v>259727.95199999999</v>
      </c>
      <c r="G50">
        <v>150978.25</v>
      </c>
      <c r="H50">
        <v>7.75</v>
      </c>
    </row>
    <row r="51" spans="1:8" x14ac:dyDescent="0.35">
      <c r="A51" s="19">
        <v>45767</v>
      </c>
      <c r="B51">
        <v>399</v>
      </c>
      <c r="C51">
        <v>414</v>
      </c>
      <c r="D51">
        <v>408</v>
      </c>
      <c r="E51">
        <v>138.6</v>
      </c>
      <c r="F51">
        <v>131437.05300000001</v>
      </c>
      <c r="G51">
        <v>162354</v>
      </c>
      <c r="H51">
        <v>7.15</v>
      </c>
    </row>
    <row r="52" spans="1:8" x14ac:dyDescent="0.35">
      <c r="A52" s="19">
        <v>45768</v>
      </c>
      <c r="B52">
        <v>440</v>
      </c>
      <c r="C52">
        <v>423</v>
      </c>
      <c r="D52">
        <v>435</v>
      </c>
      <c r="E52">
        <v>139.9</v>
      </c>
      <c r="F52">
        <v>225166</v>
      </c>
      <c r="G52">
        <v>196908.15</v>
      </c>
      <c r="H52">
        <v>7.73</v>
      </c>
    </row>
    <row r="53" spans="1:8" x14ac:dyDescent="0.35">
      <c r="A53" s="19">
        <v>45769</v>
      </c>
      <c r="B53">
        <v>487</v>
      </c>
      <c r="C53">
        <v>477</v>
      </c>
      <c r="D53">
        <v>495</v>
      </c>
      <c r="E53">
        <v>141</v>
      </c>
      <c r="F53">
        <v>262917.98</v>
      </c>
      <c r="G53">
        <v>221700.71</v>
      </c>
      <c r="H53">
        <v>8.23</v>
      </c>
    </row>
    <row r="54" spans="1:8" x14ac:dyDescent="0.35">
      <c r="A54" s="19">
        <v>45787</v>
      </c>
      <c r="B54">
        <v>296</v>
      </c>
      <c r="C54">
        <v>289</v>
      </c>
      <c r="D54">
        <v>312</v>
      </c>
      <c r="E54">
        <v>122.9</v>
      </c>
      <c r="F54">
        <v>177354</v>
      </c>
      <c r="G54">
        <v>63913.67</v>
      </c>
      <c r="H54">
        <v>10.58</v>
      </c>
    </row>
    <row r="55" spans="1:8" x14ac:dyDescent="0.35">
      <c r="A55" s="19">
        <v>45788</v>
      </c>
      <c r="B55">
        <v>315</v>
      </c>
      <c r="C55">
        <v>292</v>
      </c>
      <c r="D55">
        <v>284</v>
      </c>
      <c r="E55">
        <v>124.6</v>
      </c>
      <c r="F55">
        <v>188085</v>
      </c>
      <c r="G55">
        <v>74892.67</v>
      </c>
      <c r="H55">
        <v>11.92</v>
      </c>
    </row>
    <row r="56" spans="1:8" x14ac:dyDescent="0.35">
      <c r="A56" s="19">
        <v>45789</v>
      </c>
      <c r="B56">
        <v>386</v>
      </c>
      <c r="C56">
        <v>350</v>
      </c>
      <c r="D56">
        <v>349</v>
      </c>
      <c r="E56">
        <v>126.3</v>
      </c>
      <c r="F56">
        <v>188622.98</v>
      </c>
      <c r="G56">
        <v>85786.33</v>
      </c>
      <c r="H56">
        <v>12.5</v>
      </c>
    </row>
    <row r="57" spans="1:8" x14ac:dyDescent="0.35">
      <c r="A57" s="19">
        <v>45790</v>
      </c>
      <c r="B57">
        <v>401</v>
      </c>
      <c r="C57">
        <v>375</v>
      </c>
      <c r="D57">
        <v>392</v>
      </c>
      <c r="E57">
        <v>128</v>
      </c>
      <c r="F57">
        <v>197296.65</v>
      </c>
      <c r="G57">
        <v>96896.67</v>
      </c>
      <c r="H57">
        <v>10.75</v>
      </c>
    </row>
    <row r="58" spans="1:8" x14ac:dyDescent="0.35">
      <c r="A58" s="19">
        <v>45791</v>
      </c>
      <c r="B58">
        <v>411</v>
      </c>
      <c r="C58">
        <v>397</v>
      </c>
      <c r="D58">
        <v>398</v>
      </c>
      <c r="E58">
        <v>129.69999999999999</v>
      </c>
      <c r="F58">
        <v>208023.31</v>
      </c>
      <c r="G58">
        <v>106928.5</v>
      </c>
      <c r="H58">
        <v>10.24</v>
      </c>
    </row>
    <row r="59" spans="1:8" x14ac:dyDescent="0.35">
      <c r="A59" s="19">
        <v>45792</v>
      </c>
      <c r="B59">
        <v>382</v>
      </c>
      <c r="C59">
        <v>375</v>
      </c>
      <c r="D59">
        <v>354.8</v>
      </c>
      <c r="E59">
        <v>131.19999999999999</v>
      </c>
      <c r="F59">
        <v>214098.64300000001</v>
      </c>
      <c r="G59">
        <v>122044</v>
      </c>
      <c r="H59">
        <v>9.94</v>
      </c>
    </row>
    <row r="60" spans="1:8" x14ac:dyDescent="0.35">
      <c r="A60" s="19">
        <v>45793</v>
      </c>
      <c r="B60">
        <v>403</v>
      </c>
      <c r="C60">
        <v>391</v>
      </c>
      <c r="D60">
        <v>403</v>
      </c>
      <c r="E60">
        <v>132.80000000000001</v>
      </c>
      <c r="F60">
        <v>230641.984</v>
      </c>
      <c r="G60">
        <v>153998.32999999999</v>
      </c>
      <c r="H60">
        <v>9.27</v>
      </c>
    </row>
    <row r="61" spans="1:8" x14ac:dyDescent="0.35">
      <c r="A61" s="19">
        <v>45794</v>
      </c>
      <c r="B61">
        <v>361</v>
      </c>
      <c r="C61">
        <v>334</v>
      </c>
      <c r="D61">
        <v>322</v>
      </c>
      <c r="E61">
        <v>134.4</v>
      </c>
      <c r="F61">
        <v>232482.973</v>
      </c>
      <c r="G61">
        <v>164763.68</v>
      </c>
      <c r="H61">
        <v>8.83</v>
      </c>
    </row>
    <row r="62" spans="1:8" x14ac:dyDescent="0.35">
      <c r="A62" s="19">
        <v>45795</v>
      </c>
      <c r="B62">
        <v>443</v>
      </c>
      <c r="C62">
        <v>423</v>
      </c>
      <c r="D62">
        <v>460</v>
      </c>
      <c r="E62">
        <v>135.9</v>
      </c>
      <c r="F62">
        <v>247308.962</v>
      </c>
      <c r="G62">
        <v>151462.04</v>
      </c>
      <c r="H62">
        <v>8.33</v>
      </c>
    </row>
    <row r="63" spans="1:8" x14ac:dyDescent="0.35">
      <c r="A63" s="19">
        <v>45796</v>
      </c>
      <c r="B63">
        <v>369</v>
      </c>
      <c r="C63">
        <v>195</v>
      </c>
      <c r="D63">
        <v>354</v>
      </c>
      <c r="E63">
        <v>137.4</v>
      </c>
      <c r="F63">
        <v>253415.95199999999</v>
      </c>
      <c r="G63">
        <v>151192</v>
      </c>
      <c r="H63">
        <v>7.67</v>
      </c>
    </row>
    <row r="64" spans="1:8" x14ac:dyDescent="0.35">
      <c r="A64" s="19">
        <v>45797</v>
      </c>
      <c r="B64">
        <v>425</v>
      </c>
      <c r="C64">
        <v>405</v>
      </c>
      <c r="D64">
        <v>405</v>
      </c>
      <c r="E64">
        <v>138.80000000000001</v>
      </c>
      <c r="F64">
        <v>162590.383</v>
      </c>
      <c r="G64">
        <v>165504.67000000001</v>
      </c>
      <c r="H64">
        <v>7.2</v>
      </c>
    </row>
    <row r="65" spans="1:8" x14ac:dyDescent="0.35">
      <c r="A65" s="19">
        <v>45798</v>
      </c>
      <c r="B65">
        <v>489</v>
      </c>
      <c r="C65">
        <v>439</v>
      </c>
      <c r="D65">
        <v>428</v>
      </c>
      <c r="E65">
        <v>140</v>
      </c>
      <c r="F65">
        <v>231134.33</v>
      </c>
      <c r="G65">
        <v>198974.19</v>
      </c>
      <c r="H65">
        <v>7.77</v>
      </c>
    </row>
    <row r="66" spans="1:8" x14ac:dyDescent="0.35">
      <c r="A66" s="19">
        <v>45799</v>
      </c>
      <c r="B66">
        <v>531</v>
      </c>
      <c r="C66">
        <v>514</v>
      </c>
      <c r="D66">
        <v>596</v>
      </c>
      <c r="E66">
        <v>141.1</v>
      </c>
      <c r="F66">
        <v>261644.65</v>
      </c>
      <c r="G66">
        <v>223766.76</v>
      </c>
      <c r="H66">
        <v>8.27</v>
      </c>
    </row>
    <row r="67" spans="1:8" x14ac:dyDescent="0.35">
      <c r="A67" s="19">
        <v>45818</v>
      </c>
      <c r="B67">
        <v>224</v>
      </c>
      <c r="C67">
        <v>212</v>
      </c>
      <c r="D67">
        <v>215</v>
      </c>
      <c r="E67">
        <v>123.1</v>
      </c>
      <c r="F67">
        <v>176208</v>
      </c>
      <c r="G67">
        <v>64813.58</v>
      </c>
      <c r="H67">
        <v>10.67</v>
      </c>
    </row>
    <row r="68" spans="1:8" x14ac:dyDescent="0.35">
      <c r="A68" s="19">
        <v>45819</v>
      </c>
      <c r="B68">
        <v>270</v>
      </c>
      <c r="C68">
        <v>280</v>
      </c>
      <c r="D68">
        <v>295</v>
      </c>
      <c r="E68">
        <v>124.8</v>
      </c>
      <c r="F68">
        <v>189393</v>
      </c>
      <c r="G68">
        <v>75837.58</v>
      </c>
      <c r="H68">
        <v>12.08</v>
      </c>
    </row>
    <row r="69" spans="1:8" x14ac:dyDescent="0.35">
      <c r="A69" s="19">
        <v>45820</v>
      </c>
      <c r="B69">
        <v>300</v>
      </c>
      <c r="C69">
        <v>291</v>
      </c>
      <c r="D69">
        <v>312</v>
      </c>
      <c r="E69">
        <v>126.5</v>
      </c>
      <c r="F69">
        <v>187379.98</v>
      </c>
      <c r="G69">
        <v>86619.92</v>
      </c>
      <c r="H69">
        <v>12.31</v>
      </c>
    </row>
    <row r="70" spans="1:8" x14ac:dyDescent="0.35">
      <c r="A70" s="19">
        <v>45821</v>
      </c>
      <c r="B70">
        <v>403</v>
      </c>
      <c r="C70">
        <v>391</v>
      </c>
      <c r="D70">
        <v>398</v>
      </c>
      <c r="E70">
        <v>128.1</v>
      </c>
      <c r="F70">
        <v>195877.32</v>
      </c>
      <c r="G70">
        <v>98007.09</v>
      </c>
      <c r="H70">
        <v>10.69</v>
      </c>
    </row>
    <row r="71" spans="1:8" x14ac:dyDescent="0.35">
      <c r="A71" s="19">
        <v>45822</v>
      </c>
      <c r="B71">
        <v>435</v>
      </c>
      <c r="C71">
        <v>423</v>
      </c>
      <c r="D71">
        <v>426</v>
      </c>
      <c r="E71">
        <v>129.80000000000001</v>
      </c>
      <c r="F71">
        <v>206467.64</v>
      </c>
      <c r="G71">
        <v>107311.34</v>
      </c>
      <c r="H71">
        <v>10.24</v>
      </c>
    </row>
    <row r="72" spans="1:8" x14ac:dyDescent="0.35">
      <c r="A72" s="19">
        <v>45823</v>
      </c>
      <c r="B72">
        <v>413</v>
      </c>
      <c r="C72">
        <v>404</v>
      </c>
      <c r="D72">
        <v>344.9</v>
      </c>
      <c r="E72">
        <v>131.4</v>
      </c>
      <c r="F72">
        <v>209944.31299999999</v>
      </c>
      <c r="G72">
        <v>124961.5</v>
      </c>
      <c r="H72">
        <v>9.8800000000000008</v>
      </c>
    </row>
    <row r="73" spans="1:8" x14ac:dyDescent="0.35">
      <c r="A73" s="19">
        <v>45824</v>
      </c>
      <c r="B73">
        <v>401</v>
      </c>
      <c r="C73">
        <v>389</v>
      </c>
      <c r="D73">
        <v>408</v>
      </c>
      <c r="E73">
        <v>132.9</v>
      </c>
      <c r="F73">
        <v>226742.984</v>
      </c>
      <c r="G73">
        <v>156151.92000000001</v>
      </c>
      <c r="H73">
        <v>9.23</v>
      </c>
    </row>
    <row r="74" spans="1:8" x14ac:dyDescent="0.35">
      <c r="A74" s="19">
        <v>45825</v>
      </c>
      <c r="B74">
        <v>414</v>
      </c>
      <c r="C74">
        <v>409</v>
      </c>
      <c r="D74">
        <v>398</v>
      </c>
      <c r="E74">
        <v>134.5</v>
      </c>
      <c r="F74">
        <v>229564.973</v>
      </c>
      <c r="G74">
        <v>163147.85</v>
      </c>
      <c r="H74">
        <v>8.7899999999999991</v>
      </c>
    </row>
    <row r="75" spans="1:8" x14ac:dyDescent="0.35">
      <c r="A75" s="19">
        <v>45826</v>
      </c>
      <c r="B75">
        <v>410</v>
      </c>
      <c r="C75">
        <v>401</v>
      </c>
      <c r="D75">
        <v>386</v>
      </c>
      <c r="E75">
        <v>136</v>
      </c>
      <c r="F75">
        <v>243263.962</v>
      </c>
      <c r="G75">
        <v>151337.04</v>
      </c>
      <c r="H75">
        <v>8.2899999999999991</v>
      </c>
    </row>
    <row r="76" spans="1:8" x14ac:dyDescent="0.35">
      <c r="A76" s="19">
        <v>45827</v>
      </c>
      <c r="B76">
        <v>323</v>
      </c>
      <c r="C76">
        <v>200</v>
      </c>
      <c r="D76">
        <v>360</v>
      </c>
      <c r="E76">
        <v>137.5</v>
      </c>
      <c r="F76">
        <v>247103.95199999999</v>
      </c>
      <c r="G76">
        <v>151405.75</v>
      </c>
      <c r="H76">
        <v>7.58</v>
      </c>
    </row>
    <row r="77" spans="1:8" x14ac:dyDescent="0.35">
      <c r="A77" s="19">
        <v>45828</v>
      </c>
      <c r="B77">
        <v>445</v>
      </c>
      <c r="C77">
        <v>414</v>
      </c>
      <c r="D77">
        <v>410</v>
      </c>
      <c r="E77">
        <v>138.9</v>
      </c>
      <c r="F77">
        <v>193743.71299999999</v>
      </c>
      <c r="G77">
        <v>168655.34</v>
      </c>
      <c r="H77">
        <v>7.25</v>
      </c>
    </row>
    <row r="78" spans="1:8" x14ac:dyDescent="0.35">
      <c r="A78" s="19">
        <v>45829</v>
      </c>
      <c r="B78">
        <v>440</v>
      </c>
      <c r="C78">
        <v>423</v>
      </c>
      <c r="D78">
        <v>439</v>
      </c>
      <c r="E78">
        <v>140.1</v>
      </c>
      <c r="F78">
        <v>237102.66</v>
      </c>
      <c r="G78">
        <v>201040.24</v>
      </c>
      <c r="H78">
        <v>7.81</v>
      </c>
    </row>
    <row r="79" spans="1:8" x14ac:dyDescent="0.35">
      <c r="A79" s="19">
        <v>45830</v>
      </c>
      <c r="B79">
        <v>586</v>
      </c>
      <c r="C79">
        <v>574</v>
      </c>
      <c r="D79">
        <v>685</v>
      </c>
      <c r="E79">
        <v>141.19999999999999</v>
      </c>
      <c r="F79">
        <v>260371.32</v>
      </c>
      <c r="G79">
        <v>225832.8</v>
      </c>
      <c r="H79">
        <v>8.31</v>
      </c>
    </row>
    <row r="80" spans="1:8" x14ac:dyDescent="0.35">
      <c r="A80" s="19">
        <v>45848</v>
      </c>
      <c r="B80">
        <v>184</v>
      </c>
      <c r="C80">
        <v>174</v>
      </c>
      <c r="D80">
        <v>181</v>
      </c>
      <c r="E80">
        <v>123.2</v>
      </c>
      <c r="F80">
        <v>175062</v>
      </c>
      <c r="G80">
        <v>65713.5</v>
      </c>
      <c r="H80">
        <v>10.75</v>
      </c>
    </row>
    <row r="81" spans="1:8" x14ac:dyDescent="0.35">
      <c r="A81" s="19">
        <v>45849</v>
      </c>
      <c r="B81">
        <v>213</v>
      </c>
      <c r="C81">
        <v>225</v>
      </c>
      <c r="D81">
        <v>215</v>
      </c>
      <c r="E81">
        <v>124.9</v>
      </c>
      <c r="F81">
        <v>190701</v>
      </c>
      <c r="G81">
        <v>76782.5</v>
      </c>
      <c r="H81">
        <v>12.25</v>
      </c>
    </row>
    <row r="82" spans="1:8" x14ac:dyDescent="0.35">
      <c r="A82" s="19">
        <v>45850</v>
      </c>
      <c r="B82">
        <v>234</v>
      </c>
      <c r="C82">
        <v>236</v>
      </c>
      <c r="D82">
        <v>259</v>
      </c>
      <c r="E82">
        <v>126.6</v>
      </c>
      <c r="F82">
        <v>186136.98</v>
      </c>
      <c r="G82">
        <v>87453.5</v>
      </c>
      <c r="H82">
        <v>12.13</v>
      </c>
    </row>
    <row r="83" spans="1:8" x14ac:dyDescent="0.35">
      <c r="A83" s="19">
        <v>45851</v>
      </c>
      <c r="B83">
        <v>311</v>
      </c>
      <c r="C83">
        <v>304</v>
      </c>
      <c r="D83">
        <v>308</v>
      </c>
      <c r="E83">
        <v>128.30000000000001</v>
      </c>
      <c r="F83">
        <v>194457.99</v>
      </c>
      <c r="G83">
        <v>99117.5</v>
      </c>
      <c r="H83">
        <v>10.63</v>
      </c>
    </row>
    <row r="84" spans="1:8" x14ac:dyDescent="0.35">
      <c r="A84" s="19">
        <v>45852</v>
      </c>
      <c r="B84">
        <v>325</v>
      </c>
      <c r="C84">
        <v>313</v>
      </c>
      <c r="D84">
        <v>312</v>
      </c>
      <c r="E84">
        <v>129.9</v>
      </c>
      <c r="F84">
        <v>204911.97</v>
      </c>
      <c r="G84">
        <v>107694.17</v>
      </c>
      <c r="H84">
        <v>10.23</v>
      </c>
    </row>
    <row r="85" spans="1:8" x14ac:dyDescent="0.35">
      <c r="A85" s="19">
        <v>45853</v>
      </c>
      <c r="B85">
        <v>314</v>
      </c>
      <c r="C85">
        <v>308</v>
      </c>
      <c r="D85">
        <v>335</v>
      </c>
      <c r="E85">
        <v>131.5</v>
      </c>
      <c r="F85">
        <v>205789.98300000001</v>
      </c>
      <c r="G85">
        <v>127879</v>
      </c>
      <c r="H85">
        <v>9.81</v>
      </c>
    </row>
    <row r="86" spans="1:8" x14ac:dyDescent="0.35">
      <c r="A86" s="19">
        <v>45854</v>
      </c>
      <c r="B86">
        <v>380</v>
      </c>
      <c r="C86">
        <v>369</v>
      </c>
      <c r="D86">
        <v>379</v>
      </c>
      <c r="E86">
        <v>133.1</v>
      </c>
      <c r="F86">
        <v>222843.984</v>
      </c>
      <c r="G86">
        <v>158305.5</v>
      </c>
      <c r="H86">
        <v>9.1999999999999993</v>
      </c>
    </row>
    <row r="87" spans="1:8" x14ac:dyDescent="0.35">
      <c r="A87" s="19">
        <v>45855</v>
      </c>
      <c r="B87">
        <v>323</v>
      </c>
      <c r="C87">
        <v>303</v>
      </c>
      <c r="D87">
        <v>295</v>
      </c>
      <c r="E87">
        <v>134.6</v>
      </c>
      <c r="F87">
        <v>226646.973</v>
      </c>
      <c r="G87">
        <v>161532.01999999999</v>
      </c>
      <c r="H87">
        <v>8.75</v>
      </c>
    </row>
    <row r="88" spans="1:8" x14ac:dyDescent="0.35">
      <c r="A88" s="19">
        <v>45856</v>
      </c>
      <c r="B88">
        <v>396</v>
      </c>
      <c r="C88">
        <v>383</v>
      </c>
      <c r="D88">
        <v>375</v>
      </c>
      <c r="E88">
        <v>136.19999999999999</v>
      </c>
      <c r="F88">
        <v>239218.962</v>
      </c>
      <c r="G88">
        <v>151212.04</v>
      </c>
      <c r="H88">
        <v>8.25</v>
      </c>
    </row>
    <row r="89" spans="1:8" x14ac:dyDescent="0.35">
      <c r="A89" s="19">
        <v>45857</v>
      </c>
      <c r="B89">
        <v>360</v>
      </c>
      <c r="C89">
        <v>256</v>
      </c>
      <c r="D89">
        <v>310</v>
      </c>
      <c r="E89">
        <v>137.6</v>
      </c>
      <c r="F89">
        <v>240791.95199999999</v>
      </c>
      <c r="G89">
        <v>151619.5</v>
      </c>
      <c r="H89">
        <v>7.5</v>
      </c>
    </row>
    <row r="90" spans="1:8" x14ac:dyDescent="0.35">
      <c r="A90" s="19">
        <v>45858</v>
      </c>
      <c r="B90">
        <v>356</v>
      </c>
      <c r="C90">
        <v>336</v>
      </c>
      <c r="D90">
        <v>386</v>
      </c>
      <c r="E90">
        <v>139</v>
      </c>
      <c r="F90">
        <v>224897.04300000001</v>
      </c>
      <c r="G90">
        <v>171806</v>
      </c>
      <c r="H90">
        <v>7.3</v>
      </c>
    </row>
    <row r="91" spans="1:8" x14ac:dyDescent="0.35">
      <c r="A91" s="19">
        <v>45859</v>
      </c>
      <c r="B91">
        <v>388</v>
      </c>
      <c r="C91">
        <v>382</v>
      </c>
      <c r="D91">
        <v>400</v>
      </c>
      <c r="E91">
        <v>140.19999999999999</v>
      </c>
      <c r="F91">
        <v>243070.99</v>
      </c>
      <c r="G91">
        <v>203106.29</v>
      </c>
      <c r="H91">
        <v>7.85</v>
      </c>
    </row>
    <row r="92" spans="1:8" x14ac:dyDescent="0.35">
      <c r="A92" s="19">
        <v>45860</v>
      </c>
      <c r="B92">
        <v>434</v>
      </c>
      <c r="C92">
        <v>430</v>
      </c>
      <c r="D92">
        <v>547</v>
      </c>
      <c r="E92">
        <v>141.30000000000001</v>
      </c>
      <c r="F92">
        <v>259097.99</v>
      </c>
      <c r="G92">
        <v>227898.85</v>
      </c>
      <c r="H92">
        <v>8.35</v>
      </c>
    </row>
    <row r="93" spans="1:8" x14ac:dyDescent="0.35">
      <c r="A93" s="19">
        <v>45879</v>
      </c>
      <c r="B93">
        <v>193</v>
      </c>
      <c r="C93">
        <v>200</v>
      </c>
      <c r="D93">
        <v>216</v>
      </c>
      <c r="E93">
        <v>123.3</v>
      </c>
      <c r="F93">
        <v>177418</v>
      </c>
      <c r="G93">
        <v>66613.42</v>
      </c>
      <c r="H93">
        <v>10.83</v>
      </c>
    </row>
    <row r="94" spans="1:8" x14ac:dyDescent="0.35">
      <c r="A94" s="19">
        <v>45880</v>
      </c>
      <c r="B94">
        <v>184</v>
      </c>
      <c r="C94">
        <v>165</v>
      </c>
      <c r="D94">
        <v>192</v>
      </c>
      <c r="E94">
        <v>125.1</v>
      </c>
      <c r="F94">
        <v>192375.33</v>
      </c>
      <c r="G94">
        <v>77727.42</v>
      </c>
      <c r="H94">
        <v>12.42</v>
      </c>
    </row>
    <row r="95" spans="1:8" x14ac:dyDescent="0.35">
      <c r="A95" s="19">
        <v>45881</v>
      </c>
      <c r="B95">
        <v>266</v>
      </c>
      <c r="C95">
        <v>262</v>
      </c>
      <c r="D95">
        <v>261</v>
      </c>
      <c r="E95">
        <v>126.7</v>
      </c>
      <c r="F95">
        <v>188780.98</v>
      </c>
      <c r="G95">
        <v>88287.08</v>
      </c>
      <c r="H95">
        <v>11.94</v>
      </c>
    </row>
    <row r="96" spans="1:8" x14ac:dyDescent="0.35">
      <c r="A96" s="19">
        <v>45882</v>
      </c>
      <c r="B96">
        <v>291</v>
      </c>
      <c r="C96">
        <v>221</v>
      </c>
      <c r="D96">
        <v>221</v>
      </c>
      <c r="E96">
        <v>128.4</v>
      </c>
      <c r="F96">
        <v>195795.32</v>
      </c>
      <c r="G96">
        <v>100227.92</v>
      </c>
      <c r="H96">
        <v>10.56</v>
      </c>
    </row>
    <row r="97" spans="1:8" x14ac:dyDescent="0.35">
      <c r="A97" s="19">
        <v>45883</v>
      </c>
      <c r="B97">
        <v>314</v>
      </c>
      <c r="C97">
        <v>309</v>
      </c>
      <c r="D97">
        <v>308</v>
      </c>
      <c r="E97">
        <v>130.1</v>
      </c>
      <c r="F97">
        <v>205460.63699999999</v>
      </c>
      <c r="G97">
        <v>108077</v>
      </c>
      <c r="H97">
        <v>10.23</v>
      </c>
    </row>
    <row r="98" spans="1:8" x14ac:dyDescent="0.35">
      <c r="A98" s="19">
        <v>45884</v>
      </c>
      <c r="B98">
        <v>323</v>
      </c>
      <c r="C98">
        <v>314</v>
      </c>
      <c r="D98">
        <v>325</v>
      </c>
      <c r="E98">
        <v>131.6</v>
      </c>
      <c r="F98">
        <v>209342.98300000001</v>
      </c>
      <c r="G98">
        <v>130796.5</v>
      </c>
      <c r="H98">
        <v>9.74</v>
      </c>
    </row>
    <row r="99" spans="1:8" x14ac:dyDescent="0.35">
      <c r="A99" s="19">
        <v>45885</v>
      </c>
      <c r="B99">
        <v>347</v>
      </c>
      <c r="C99">
        <v>323</v>
      </c>
      <c r="D99">
        <v>310</v>
      </c>
      <c r="E99">
        <v>133.19999999999999</v>
      </c>
      <c r="F99">
        <v>226038.31700000001</v>
      </c>
      <c r="G99">
        <v>160459.07999999999</v>
      </c>
      <c r="H99">
        <v>9.17</v>
      </c>
    </row>
    <row r="100" spans="1:8" x14ac:dyDescent="0.35">
      <c r="A100" s="19">
        <v>45886</v>
      </c>
      <c r="B100">
        <v>321</v>
      </c>
      <c r="C100">
        <v>348</v>
      </c>
      <c r="D100">
        <v>296</v>
      </c>
      <c r="E100">
        <v>134.80000000000001</v>
      </c>
      <c r="F100">
        <v>232428.30300000001</v>
      </c>
      <c r="G100">
        <v>159916.19</v>
      </c>
      <c r="H100">
        <v>8.7100000000000009</v>
      </c>
    </row>
    <row r="101" spans="1:8" x14ac:dyDescent="0.35">
      <c r="A101" s="19">
        <v>45887</v>
      </c>
      <c r="B101">
        <v>378</v>
      </c>
      <c r="C101">
        <v>386</v>
      </c>
      <c r="D101">
        <v>380</v>
      </c>
      <c r="E101">
        <v>136.30000000000001</v>
      </c>
      <c r="F101">
        <v>246475.29500000001</v>
      </c>
      <c r="G101">
        <v>151087.04000000001</v>
      </c>
      <c r="H101">
        <v>8.2100000000000009</v>
      </c>
    </row>
    <row r="102" spans="1:8" x14ac:dyDescent="0.35">
      <c r="A102" s="19">
        <v>45888</v>
      </c>
      <c r="B102">
        <v>331</v>
      </c>
      <c r="C102">
        <v>270</v>
      </c>
      <c r="D102">
        <v>321</v>
      </c>
      <c r="E102">
        <v>137.69999999999999</v>
      </c>
      <c r="F102">
        <v>246430.61900000001</v>
      </c>
      <c r="G102">
        <v>151833.25</v>
      </c>
      <c r="H102">
        <v>7.42</v>
      </c>
    </row>
    <row r="103" spans="1:8" x14ac:dyDescent="0.35">
      <c r="A103" s="19">
        <v>45889</v>
      </c>
      <c r="B103">
        <v>326</v>
      </c>
      <c r="C103">
        <v>322</v>
      </c>
      <c r="D103">
        <v>326</v>
      </c>
      <c r="E103">
        <v>139.1</v>
      </c>
      <c r="F103">
        <v>241515.37299999999</v>
      </c>
      <c r="G103">
        <v>174956.67</v>
      </c>
      <c r="H103">
        <v>7.35</v>
      </c>
    </row>
    <row r="104" spans="1:8" x14ac:dyDescent="0.35">
      <c r="A104" s="19">
        <v>45890</v>
      </c>
      <c r="B104">
        <v>396</v>
      </c>
      <c r="C104">
        <v>391</v>
      </c>
      <c r="D104">
        <v>395</v>
      </c>
      <c r="E104">
        <v>140.30000000000001</v>
      </c>
      <c r="F104">
        <v>251071.99</v>
      </c>
      <c r="G104">
        <v>205172.33</v>
      </c>
      <c r="H104">
        <v>7.89</v>
      </c>
    </row>
    <row r="105" spans="1:8" x14ac:dyDescent="0.35">
      <c r="A105" s="19">
        <v>45891</v>
      </c>
      <c r="B105">
        <v>422</v>
      </c>
      <c r="C105">
        <v>419</v>
      </c>
      <c r="D105">
        <v>526</v>
      </c>
      <c r="E105">
        <v>141.4</v>
      </c>
      <c r="F105">
        <v>257824.66</v>
      </c>
      <c r="G105">
        <v>229964.9</v>
      </c>
      <c r="H105">
        <v>8.39</v>
      </c>
    </row>
    <row r="106" spans="1:8" x14ac:dyDescent="0.35">
      <c r="A106" s="19">
        <v>45910</v>
      </c>
      <c r="B106">
        <v>169</v>
      </c>
      <c r="C106">
        <v>152</v>
      </c>
      <c r="D106">
        <v>178</v>
      </c>
      <c r="E106">
        <v>123.5</v>
      </c>
      <c r="F106">
        <v>179774</v>
      </c>
      <c r="G106">
        <v>67513.33</v>
      </c>
      <c r="H106">
        <v>10.92</v>
      </c>
    </row>
    <row r="107" spans="1:8" x14ac:dyDescent="0.35">
      <c r="A107" s="19">
        <v>45911</v>
      </c>
      <c r="B107">
        <v>234</v>
      </c>
      <c r="C107">
        <v>191</v>
      </c>
      <c r="D107">
        <v>219</v>
      </c>
      <c r="E107">
        <v>125.2</v>
      </c>
      <c r="F107">
        <v>194049.66</v>
      </c>
      <c r="G107">
        <v>78672.33</v>
      </c>
      <c r="H107">
        <v>12.58</v>
      </c>
    </row>
    <row r="108" spans="1:8" x14ac:dyDescent="0.35">
      <c r="A108" s="19">
        <v>45912</v>
      </c>
      <c r="B108">
        <v>287</v>
      </c>
      <c r="C108">
        <v>278</v>
      </c>
      <c r="D108">
        <v>286</v>
      </c>
      <c r="E108">
        <v>126.9</v>
      </c>
      <c r="F108">
        <v>191424.98</v>
      </c>
      <c r="G108">
        <v>89120.67</v>
      </c>
      <c r="H108">
        <v>11.75</v>
      </c>
    </row>
    <row r="109" spans="1:8" x14ac:dyDescent="0.35">
      <c r="A109" s="19">
        <v>45913</v>
      </c>
      <c r="B109">
        <v>323</v>
      </c>
      <c r="C109">
        <v>344</v>
      </c>
      <c r="D109">
        <v>335</v>
      </c>
      <c r="E109">
        <v>128.6</v>
      </c>
      <c r="F109">
        <v>197132.65</v>
      </c>
      <c r="G109">
        <v>101338.34</v>
      </c>
      <c r="H109">
        <v>10.5</v>
      </c>
    </row>
    <row r="110" spans="1:8" x14ac:dyDescent="0.35">
      <c r="A110" s="19">
        <v>45914</v>
      </c>
      <c r="B110">
        <v>302</v>
      </c>
      <c r="C110">
        <v>314</v>
      </c>
      <c r="D110">
        <v>298</v>
      </c>
      <c r="E110">
        <v>130.19999999999999</v>
      </c>
      <c r="F110">
        <v>206009.304</v>
      </c>
      <c r="G110">
        <v>108459.84</v>
      </c>
      <c r="H110">
        <v>10.23</v>
      </c>
    </row>
    <row r="111" spans="1:8" x14ac:dyDescent="0.35">
      <c r="A111" s="19">
        <v>45915</v>
      </c>
      <c r="B111">
        <v>311</v>
      </c>
      <c r="C111">
        <v>343</v>
      </c>
      <c r="D111">
        <v>325</v>
      </c>
      <c r="E111">
        <v>131.80000000000001</v>
      </c>
      <c r="F111">
        <v>212895.98300000001</v>
      </c>
      <c r="G111">
        <v>133714</v>
      </c>
      <c r="H111">
        <v>9.67</v>
      </c>
    </row>
    <row r="112" spans="1:8" x14ac:dyDescent="0.35">
      <c r="A112" s="19">
        <v>45916</v>
      </c>
      <c r="B112">
        <v>314</v>
      </c>
      <c r="C112">
        <v>304</v>
      </c>
      <c r="D112">
        <v>329</v>
      </c>
      <c r="E112">
        <v>133.30000000000001</v>
      </c>
      <c r="F112">
        <v>229232.65</v>
      </c>
      <c r="G112">
        <v>162612.66</v>
      </c>
      <c r="H112">
        <v>9.1300000000000008</v>
      </c>
    </row>
    <row r="113" spans="1:8" x14ac:dyDescent="0.35">
      <c r="A113" s="19">
        <v>45917</v>
      </c>
      <c r="B113">
        <v>359</v>
      </c>
      <c r="C113">
        <v>377</v>
      </c>
      <c r="D113">
        <v>398</v>
      </c>
      <c r="E113">
        <v>134.9</v>
      </c>
      <c r="F113">
        <v>238209.633</v>
      </c>
      <c r="G113">
        <v>158300.35999999999</v>
      </c>
      <c r="H113">
        <v>8.67</v>
      </c>
    </row>
    <row r="114" spans="1:8" x14ac:dyDescent="0.35">
      <c r="A114" s="19">
        <v>45918</v>
      </c>
      <c r="B114">
        <v>386</v>
      </c>
      <c r="C114">
        <v>369</v>
      </c>
      <c r="D114">
        <v>395</v>
      </c>
      <c r="E114">
        <v>136.4</v>
      </c>
      <c r="F114">
        <v>253731.628</v>
      </c>
      <c r="G114">
        <v>150962.04</v>
      </c>
      <c r="H114">
        <v>8.17</v>
      </c>
    </row>
    <row r="115" spans="1:8" x14ac:dyDescent="0.35">
      <c r="A115" s="19">
        <v>45919</v>
      </c>
      <c r="B115">
        <v>333</v>
      </c>
      <c r="C115">
        <v>260</v>
      </c>
      <c r="D115">
        <v>315</v>
      </c>
      <c r="E115">
        <v>137.80000000000001</v>
      </c>
      <c r="F115">
        <v>252069.28599999999</v>
      </c>
      <c r="G115">
        <v>152047</v>
      </c>
      <c r="H115">
        <v>7.33</v>
      </c>
    </row>
    <row r="116" spans="1:8" x14ac:dyDescent="0.35">
      <c r="A116" s="19">
        <v>45920</v>
      </c>
      <c r="B116">
        <v>388</v>
      </c>
      <c r="C116">
        <v>423</v>
      </c>
      <c r="D116">
        <v>388</v>
      </c>
      <c r="E116">
        <v>139.19999999999999</v>
      </c>
      <c r="F116">
        <v>258133.70300000001</v>
      </c>
      <c r="G116">
        <v>178107.34</v>
      </c>
      <c r="H116">
        <v>7.4</v>
      </c>
    </row>
    <row r="117" spans="1:8" x14ac:dyDescent="0.35">
      <c r="A117" s="19">
        <v>45921</v>
      </c>
      <c r="B117">
        <v>406</v>
      </c>
      <c r="C117">
        <v>420</v>
      </c>
      <c r="D117">
        <v>415</v>
      </c>
      <c r="E117">
        <v>140.4</v>
      </c>
      <c r="F117">
        <v>259072.99</v>
      </c>
      <c r="G117">
        <v>207238.38</v>
      </c>
      <c r="H117">
        <v>7.93</v>
      </c>
    </row>
    <row r="118" spans="1:8" x14ac:dyDescent="0.35">
      <c r="A118" s="19">
        <v>45922</v>
      </c>
      <c r="B118">
        <v>433</v>
      </c>
      <c r="C118">
        <v>431</v>
      </c>
      <c r="D118">
        <v>502</v>
      </c>
      <c r="E118">
        <v>141.5</v>
      </c>
      <c r="F118">
        <v>256551.33</v>
      </c>
      <c r="G118">
        <v>232030.94</v>
      </c>
      <c r="H118">
        <v>8.43</v>
      </c>
    </row>
    <row r="119" spans="1:8" x14ac:dyDescent="0.35">
      <c r="A119" s="19">
        <v>45940</v>
      </c>
      <c r="B119">
        <v>200</v>
      </c>
      <c r="C119">
        <v>214</v>
      </c>
      <c r="D119">
        <v>215</v>
      </c>
      <c r="E119">
        <v>123.6</v>
      </c>
      <c r="F119">
        <v>182130</v>
      </c>
      <c r="G119">
        <v>68413.25</v>
      </c>
      <c r="H119">
        <v>11</v>
      </c>
    </row>
    <row r="120" spans="1:8" x14ac:dyDescent="0.35">
      <c r="A120" s="19">
        <v>45941</v>
      </c>
      <c r="B120">
        <v>251</v>
      </c>
      <c r="C120">
        <v>243</v>
      </c>
      <c r="D120">
        <v>250</v>
      </c>
      <c r="E120">
        <v>125.3</v>
      </c>
      <c r="F120">
        <v>195723.99</v>
      </c>
      <c r="G120">
        <v>79617.25</v>
      </c>
      <c r="H120">
        <v>12.75</v>
      </c>
    </row>
    <row r="121" spans="1:8" x14ac:dyDescent="0.35">
      <c r="A121" s="19">
        <v>45942</v>
      </c>
      <c r="B121">
        <v>303</v>
      </c>
      <c r="C121">
        <v>291</v>
      </c>
      <c r="D121">
        <v>300</v>
      </c>
      <c r="E121">
        <v>127</v>
      </c>
      <c r="F121">
        <v>194068.98</v>
      </c>
      <c r="G121">
        <v>89954.25</v>
      </c>
      <c r="H121">
        <v>11.56</v>
      </c>
    </row>
    <row r="122" spans="1:8" x14ac:dyDescent="0.35">
      <c r="A122" s="19">
        <v>45943</v>
      </c>
      <c r="B122">
        <v>309</v>
      </c>
      <c r="C122">
        <v>291</v>
      </c>
      <c r="D122">
        <v>298</v>
      </c>
      <c r="E122">
        <v>128.69999999999999</v>
      </c>
      <c r="F122">
        <v>198469.98</v>
      </c>
      <c r="G122">
        <v>102448.75</v>
      </c>
      <c r="H122">
        <v>10.44</v>
      </c>
    </row>
    <row r="123" spans="1:8" x14ac:dyDescent="0.35">
      <c r="A123" s="19">
        <v>45944</v>
      </c>
      <c r="B123">
        <v>300</v>
      </c>
      <c r="C123">
        <v>301</v>
      </c>
      <c r="D123">
        <v>285</v>
      </c>
      <c r="E123">
        <v>130.30000000000001</v>
      </c>
      <c r="F123">
        <v>206557.97099999999</v>
      </c>
      <c r="G123">
        <v>108842.67</v>
      </c>
      <c r="H123">
        <v>10.220000000000001</v>
      </c>
    </row>
    <row r="124" spans="1:8" x14ac:dyDescent="0.35">
      <c r="A124" s="19">
        <v>45945</v>
      </c>
      <c r="B124">
        <v>318</v>
      </c>
      <c r="C124">
        <v>313</v>
      </c>
      <c r="D124">
        <v>316</v>
      </c>
      <c r="E124">
        <v>131.9</v>
      </c>
      <c r="F124">
        <v>216448.98300000001</v>
      </c>
      <c r="G124">
        <v>136631.5</v>
      </c>
      <c r="H124">
        <v>9.6</v>
      </c>
    </row>
    <row r="125" spans="1:8" x14ac:dyDescent="0.35">
      <c r="A125" s="19">
        <v>45946</v>
      </c>
      <c r="B125">
        <v>336</v>
      </c>
      <c r="C125">
        <v>312</v>
      </c>
      <c r="D125">
        <v>338</v>
      </c>
      <c r="E125">
        <v>133.5</v>
      </c>
      <c r="F125">
        <v>232426.98300000001</v>
      </c>
      <c r="G125">
        <v>164766.25</v>
      </c>
      <c r="H125">
        <v>9.1</v>
      </c>
    </row>
    <row r="126" spans="1:8" x14ac:dyDescent="0.35">
      <c r="A126" s="19">
        <v>45947</v>
      </c>
      <c r="B126">
        <v>388</v>
      </c>
      <c r="C126">
        <v>398</v>
      </c>
      <c r="D126">
        <v>405</v>
      </c>
      <c r="E126">
        <v>135</v>
      </c>
      <c r="F126">
        <v>243990.96299999999</v>
      </c>
      <c r="G126">
        <v>156684.53</v>
      </c>
      <c r="H126">
        <v>8.6199999999999992</v>
      </c>
    </row>
    <row r="127" spans="1:8" x14ac:dyDescent="0.35">
      <c r="A127" s="19">
        <v>45948</v>
      </c>
      <c r="B127">
        <v>396</v>
      </c>
      <c r="C127">
        <v>391</v>
      </c>
      <c r="D127">
        <v>425</v>
      </c>
      <c r="E127">
        <v>136.5</v>
      </c>
      <c r="F127">
        <v>260987.96100000001</v>
      </c>
      <c r="G127">
        <v>150837.04</v>
      </c>
      <c r="H127">
        <v>8.1199999999999992</v>
      </c>
    </row>
    <row r="128" spans="1:8" x14ac:dyDescent="0.35">
      <c r="A128" s="19">
        <v>45949</v>
      </c>
      <c r="B128">
        <v>366</v>
      </c>
      <c r="C128">
        <v>281</v>
      </c>
      <c r="D128">
        <v>358</v>
      </c>
      <c r="E128">
        <v>138</v>
      </c>
      <c r="F128">
        <v>257707.95300000001</v>
      </c>
      <c r="G128">
        <v>152260.75</v>
      </c>
      <c r="H128">
        <v>7.25</v>
      </c>
    </row>
    <row r="129" spans="1:8" x14ac:dyDescent="0.35">
      <c r="A129" s="19">
        <v>45950</v>
      </c>
      <c r="B129">
        <v>337</v>
      </c>
      <c r="C129">
        <v>354</v>
      </c>
      <c r="D129">
        <v>337</v>
      </c>
      <c r="E129">
        <v>139.30000000000001</v>
      </c>
      <c r="F129">
        <v>274752.033</v>
      </c>
      <c r="G129">
        <v>181258</v>
      </c>
      <c r="H129">
        <v>7.45</v>
      </c>
    </row>
    <row r="130" spans="1:8" x14ac:dyDescent="0.35">
      <c r="A130" s="19">
        <v>45951</v>
      </c>
      <c r="B130">
        <v>423</v>
      </c>
      <c r="C130">
        <v>408</v>
      </c>
      <c r="D130">
        <v>406</v>
      </c>
      <c r="E130">
        <v>140.5</v>
      </c>
      <c r="F130">
        <v>267073.99</v>
      </c>
      <c r="G130">
        <v>209304.43</v>
      </c>
      <c r="H130">
        <v>7.98</v>
      </c>
    </row>
    <row r="131" spans="1:8" x14ac:dyDescent="0.35">
      <c r="A131" s="19">
        <v>45952</v>
      </c>
      <c r="B131">
        <v>453</v>
      </c>
      <c r="C131">
        <v>451</v>
      </c>
      <c r="D131">
        <v>625</v>
      </c>
      <c r="E131">
        <v>141.6</v>
      </c>
      <c r="F131">
        <v>255278</v>
      </c>
      <c r="G131">
        <v>234096.99</v>
      </c>
      <c r="H131">
        <v>8.48</v>
      </c>
    </row>
    <row r="132" spans="1:8" x14ac:dyDescent="0.35">
      <c r="A132" s="19">
        <v>45971</v>
      </c>
      <c r="B132">
        <v>335</v>
      </c>
      <c r="C132">
        <v>314</v>
      </c>
      <c r="D132">
        <v>327</v>
      </c>
      <c r="E132">
        <v>123.8</v>
      </c>
      <c r="F132">
        <v>187433</v>
      </c>
      <c r="G132">
        <v>69313.17</v>
      </c>
      <c r="H132">
        <v>11.08</v>
      </c>
    </row>
    <row r="133" spans="1:8" x14ac:dyDescent="0.35">
      <c r="A133" s="19">
        <v>45972</v>
      </c>
      <c r="B133">
        <v>591</v>
      </c>
      <c r="C133">
        <v>523</v>
      </c>
      <c r="D133">
        <v>553</v>
      </c>
      <c r="E133">
        <v>125.5</v>
      </c>
      <c r="F133">
        <v>198526.99</v>
      </c>
      <c r="G133">
        <v>80562.17</v>
      </c>
      <c r="H133">
        <v>12.92</v>
      </c>
    </row>
    <row r="134" spans="1:8" x14ac:dyDescent="0.35">
      <c r="A134" s="19">
        <v>45973</v>
      </c>
      <c r="B134">
        <v>445</v>
      </c>
      <c r="C134">
        <v>423</v>
      </c>
      <c r="D134">
        <v>453</v>
      </c>
      <c r="E134">
        <v>127.2</v>
      </c>
      <c r="F134">
        <v>199371.98</v>
      </c>
      <c r="G134">
        <v>90787.83</v>
      </c>
      <c r="H134">
        <v>11.38</v>
      </c>
    </row>
    <row r="135" spans="1:8" x14ac:dyDescent="0.35">
      <c r="A135" s="19">
        <v>45974</v>
      </c>
      <c r="B135">
        <v>625</v>
      </c>
      <c r="C135">
        <v>603</v>
      </c>
      <c r="D135">
        <v>605</v>
      </c>
      <c r="E135">
        <v>128.80000000000001</v>
      </c>
      <c r="F135">
        <v>202022.31</v>
      </c>
      <c r="G135">
        <v>103559.17</v>
      </c>
      <c r="H135">
        <v>10.38</v>
      </c>
    </row>
    <row r="136" spans="1:8" x14ac:dyDescent="0.35">
      <c r="A136" s="19">
        <v>45975</v>
      </c>
      <c r="B136">
        <v>612</v>
      </c>
      <c r="C136">
        <v>621</v>
      </c>
      <c r="D136">
        <v>618</v>
      </c>
      <c r="E136">
        <v>130.5</v>
      </c>
      <c r="F136">
        <v>209098.63800000001</v>
      </c>
      <c r="G136">
        <v>109225.5</v>
      </c>
      <c r="H136">
        <v>10.220000000000001</v>
      </c>
    </row>
    <row r="137" spans="1:8" x14ac:dyDescent="0.35">
      <c r="A137" s="19">
        <v>45976</v>
      </c>
      <c r="B137">
        <v>609</v>
      </c>
      <c r="C137">
        <v>591</v>
      </c>
      <c r="D137">
        <v>592</v>
      </c>
      <c r="E137">
        <v>132</v>
      </c>
      <c r="F137">
        <v>219246.98300000001</v>
      </c>
      <c r="G137">
        <v>139549</v>
      </c>
      <c r="H137">
        <v>9.5399999999999991</v>
      </c>
    </row>
    <row r="138" spans="1:8" x14ac:dyDescent="0.35">
      <c r="A138" s="19">
        <v>45977</v>
      </c>
      <c r="B138">
        <v>697</v>
      </c>
      <c r="C138">
        <v>674</v>
      </c>
      <c r="D138">
        <v>689</v>
      </c>
      <c r="E138">
        <v>133.6</v>
      </c>
      <c r="F138">
        <v>230495.31299999999</v>
      </c>
      <c r="G138">
        <v>166919.82999999999</v>
      </c>
      <c r="H138">
        <v>9.07</v>
      </c>
    </row>
    <row r="139" spans="1:8" x14ac:dyDescent="0.35">
      <c r="A139" s="19">
        <v>45978</v>
      </c>
      <c r="B139">
        <v>689</v>
      </c>
      <c r="C139">
        <v>664</v>
      </c>
      <c r="D139">
        <v>681</v>
      </c>
      <c r="E139">
        <v>135.19999999999999</v>
      </c>
      <c r="F139">
        <v>248749.296</v>
      </c>
      <c r="G139">
        <v>155068.70000000001</v>
      </c>
      <c r="H139">
        <v>8.58</v>
      </c>
    </row>
    <row r="140" spans="1:8" x14ac:dyDescent="0.35">
      <c r="A140" s="19">
        <v>45979</v>
      </c>
      <c r="B140">
        <v>691</v>
      </c>
      <c r="C140">
        <v>673</v>
      </c>
      <c r="D140">
        <v>702</v>
      </c>
      <c r="E140">
        <v>136.69999999999999</v>
      </c>
      <c r="F140">
        <v>265734.62800000003</v>
      </c>
      <c r="G140">
        <v>150712.04</v>
      </c>
      <c r="H140">
        <v>8.08</v>
      </c>
    </row>
    <row r="141" spans="1:8" x14ac:dyDescent="0.35">
      <c r="A141" s="19">
        <v>45980</v>
      </c>
      <c r="B141">
        <v>771</v>
      </c>
      <c r="C141">
        <v>531</v>
      </c>
      <c r="D141">
        <v>750</v>
      </c>
      <c r="E141">
        <v>138.1</v>
      </c>
      <c r="F141">
        <v>265288.95299999998</v>
      </c>
      <c r="G141">
        <v>152474.5</v>
      </c>
      <c r="H141">
        <v>7.17</v>
      </c>
    </row>
    <row r="142" spans="1:8" x14ac:dyDescent="0.35">
      <c r="A142" s="19">
        <v>45981</v>
      </c>
      <c r="B142">
        <v>731</v>
      </c>
      <c r="C142">
        <v>717</v>
      </c>
      <c r="D142">
        <v>784</v>
      </c>
      <c r="E142">
        <v>139.4</v>
      </c>
      <c r="F142">
        <v>293751.033</v>
      </c>
      <c r="G142">
        <v>184408.67</v>
      </c>
      <c r="H142">
        <v>7.5</v>
      </c>
    </row>
    <row r="143" spans="1:8" x14ac:dyDescent="0.35">
      <c r="A143" s="19">
        <v>45982</v>
      </c>
      <c r="B143">
        <v>830</v>
      </c>
      <c r="C143">
        <v>843</v>
      </c>
      <c r="D143">
        <v>858</v>
      </c>
      <c r="E143">
        <v>140.6</v>
      </c>
      <c r="F143">
        <v>290810.32</v>
      </c>
      <c r="G143">
        <v>211370.47</v>
      </c>
      <c r="H143">
        <v>8.02</v>
      </c>
    </row>
    <row r="144" spans="1:8" x14ac:dyDescent="0.35">
      <c r="A144" s="19">
        <v>45983</v>
      </c>
      <c r="B144">
        <v>903</v>
      </c>
      <c r="C144">
        <v>895</v>
      </c>
      <c r="D144">
        <v>900</v>
      </c>
      <c r="E144">
        <v>141.69999999999999</v>
      </c>
      <c r="F144">
        <v>254004.67</v>
      </c>
      <c r="G144">
        <v>236163.04</v>
      </c>
      <c r="H144">
        <v>8.6</v>
      </c>
    </row>
    <row r="145" spans="1:8" x14ac:dyDescent="0.35">
      <c r="A145" s="19">
        <v>46001</v>
      </c>
      <c r="B145">
        <v>458</v>
      </c>
      <c r="C145">
        <v>400</v>
      </c>
      <c r="D145">
        <v>423</v>
      </c>
      <c r="E145">
        <v>123.9</v>
      </c>
      <c r="F145">
        <v>192736</v>
      </c>
      <c r="G145">
        <v>70213.08</v>
      </c>
      <c r="H145">
        <v>11.17</v>
      </c>
    </row>
    <row r="146" spans="1:8" x14ac:dyDescent="0.35">
      <c r="A146" s="19">
        <v>46002</v>
      </c>
      <c r="B146">
        <v>548</v>
      </c>
      <c r="C146">
        <v>520</v>
      </c>
      <c r="D146">
        <v>531</v>
      </c>
      <c r="E146">
        <v>125.6</v>
      </c>
      <c r="F146">
        <v>201329.99</v>
      </c>
      <c r="G146">
        <v>81507.08</v>
      </c>
      <c r="H146">
        <v>13.08</v>
      </c>
    </row>
    <row r="147" spans="1:8" x14ac:dyDescent="0.35">
      <c r="A147" s="19">
        <v>46003</v>
      </c>
      <c r="B147">
        <v>589</v>
      </c>
      <c r="C147">
        <v>569</v>
      </c>
      <c r="D147">
        <v>576</v>
      </c>
      <c r="E147">
        <v>127.3</v>
      </c>
      <c r="F147">
        <v>204674.98</v>
      </c>
      <c r="G147">
        <v>91621.42</v>
      </c>
      <c r="H147">
        <v>11.19</v>
      </c>
    </row>
    <row r="148" spans="1:8" x14ac:dyDescent="0.35">
      <c r="A148" s="19">
        <v>46004</v>
      </c>
      <c r="B148">
        <v>600</v>
      </c>
      <c r="C148">
        <v>614</v>
      </c>
      <c r="D148">
        <v>610</v>
      </c>
      <c r="E148">
        <v>129</v>
      </c>
      <c r="F148">
        <v>205574.64</v>
      </c>
      <c r="G148">
        <v>104669.59</v>
      </c>
      <c r="H148">
        <v>10.31</v>
      </c>
    </row>
    <row r="149" spans="1:8" x14ac:dyDescent="0.35">
      <c r="A149" s="19">
        <v>46005</v>
      </c>
      <c r="B149">
        <v>575</v>
      </c>
      <c r="C149">
        <v>530</v>
      </c>
      <c r="D149">
        <v>538</v>
      </c>
      <c r="E149">
        <v>130.6</v>
      </c>
      <c r="F149">
        <v>211639.30499999999</v>
      </c>
      <c r="G149">
        <v>109608.34</v>
      </c>
      <c r="H149">
        <v>10.220000000000001</v>
      </c>
    </row>
    <row r="150" spans="1:8" x14ac:dyDescent="0.35">
      <c r="A150" s="19">
        <v>46006</v>
      </c>
      <c r="B150">
        <v>529</v>
      </c>
      <c r="C150">
        <v>522</v>
      </c>
      <c r="D150">
        <v>524</v>
      </c>
      <c r="E150">
        <v>132.1</v>
      </c>
      <c r="F150">
        <v>222044.98300000001</v>
      </c>
      <c r="G150">
        <v>142466.5</v>
      </c>
      <c r="H150">
        <v>9.4700000000000006</v>
      </c>
    </row>
    <row r="151" spans="1:8" x14ac:dyDescent="0.35">
      <c r="A151" s="19">
        <v>46007</v>
      </c>
      <c r="B151">
        <v>644</v>
      </c>
      <c r="C151">
        <v>614</v>
      </c>
      <c r="D151">
        <v>634</v>
      </c>
      <c r="E151">
        <v>133.69999999999999</v>
      </c>
      <c r="F151">
        <v>228563.64300000001</v>
      </c>
      <c r="G151">
        <v>169073.41</v>
      </c>
      <c r="H151">
        <v>9.0299999999999994</v>
      </c>
    </row>
    <row r="152" spans="1:8" x14ac:dyDescent="0.35">
      <c r="A152" s="19">
        <v>46008</v>
      </c>
      <c r="B152">
        <v>704</v>
      </c>
      <c r="C152">
        <v>681</v>
      </c>
      <c r="D152">
        <v>710</v>
      </c>
      <c r="E152">
        <v>135.30000000000001</v>
      </c>
      <c r="F152">
        <v>253507.62899999999</v>
      </c>
      <c r="G152">
        <v>153452.87</v>
      </c>
      <c r="H152">
        <v>8.5399999999999991</v>
      </c>
    </row>
    <row r="153" spans="1:8" x14ac:dyDescent="0.35">
      <c r="A153" s="19">
        <v>46009</v>
      </c>
      <c r="B153">
        <v>736</v>
      </c>
      <c r="C153">
        <v>721</v>
      </c>
      <c r="D153">
        <v>752</v>
      </c>
      <c r="E153">
        <v>136.80000000000001</v>
      </c>
      <c r="F153">
        <v>270481.29499999998</v>
      </c>
      <c r="G153">
        <v>150587.04</v>
      </c>
      <c r="H153">
        <v>8.0399999999999991</v>
      </c>
    </row>
    <row r="154" spans="1:8" x14ac:dyDescent="0.35">
      <c r="A154" s="19">
        <v>46010</v>
      </c>
      <c r="B154">
        <v>691</v>
      </c>
      <c r="C154">
        <v>537</v>
      </c>
      <c r="D154">
        <v>686</v>
      </c>
      <c r="E154">
        <v>138.19999999999999</v>
      </c>
      <c r="F154">
        <v>272869.95299999998</v>
      </c>
      <c r="G154">
        <v>152688.25</v>
      </c>
      <c r="H154">
        <v>7.08</v>
      </c>
    </row>
    <row r="155" spans="1:8" x14ac:dyDescent="0.35">
      <c r="A155" s="19">
        <v>46011</v>
      </c>
      <c r="B155">
        <v>691</v>
      </c>
      <c r="C155">
        <v>665</v>
      </c>
      <c r="D155">
        <v>685</v>
      </c>
      <c r="E155">
        <v>139.5</v>
      </c>
      <c r="F155">
        <v>312750.033</v>
      </c>
      <c r="G155">
        <v>187559.34</v>
      </c>
      <c r="H155">
        <v>7.55</v>
      </c>
    </row>
    <row r="156" spans="1:8" x14ac:dyDescent="0.35">
      <c r="A156" s="19">
        <v>46012</v>
      </c>
      <c r="B156">
        <v>894</v>
      </c>
      <c r="C156">
        <v>858</v>
      </c>
      <c r="D156">
        <v>885</v>
      </c>
      <c r="E156">
        <v>140.69999999999999</v>
      </c>
      <c r="F156">
        <v>314546.65000000002</v>
      </c>
      <c r="G156">
        <v>213436.52</v>
      </c>
      <c r="H156">
        <v>8.06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FA13A-136D-4DC3-B2D6-66FF360653D3}">
  <dimension ref="A3:D80"/>
  <sheetViews>
    <sheetView topLeftCell="A55" zoomScale="78" zoomScaleNormal="78" workbookViewId="0">
      <selection activeCell="B68" sqref="B68"/>
    </sheetView>
  </sheetViews>
  <sheetFormatPr defaultRowHeight="14.5" x14ac:dyDescent="0.35"/>
  <cols>
    <col min="1" max="1" width="13.26953125" bestFit="1" customWidth="1"/>
    <col min="2" max="2" width="21.54296875" bestFit="1" customWidth="1"/>
    <col min="3" max="3" width="17.453125" bestFit="1" customWidth="1"/>
    <col min="4" max="4" width="14.6328125" bestFit="1" customWidth="1"/>
    <col min="5" max="8" width="6.26953125" bestFit="1" customWidth="1"/>
    <col min="9" max="9" width="5.1796875" bestFit="1" customWidth="1"/>
    <col min="10" max="17" width="6.26953125" bestFit="1" customWidth="1"/>
    <col min="18" max="18" width="5.1796875" bestFit="1" customWidth="1"/>
    <col min="19" max="23" width="6.26953125" bestFit="1" customWidth="1"/>
    <col min="24" max="24" width="5.1796875" bestFit="1" customWidth="1"/>
    <col min="25" max="25" width="4.1796875" bestFit="1" customWidth="1"/>
    <col min="26" max="27" width="5.1796875" bestFit="1" customWidth="1"/>
    <col min="28" max="28" width="6.26953125" bestFit="1" customWidth="1"/>
    <col min="29" max="29" width="5.1796875" bestFit="1" customWidth="1"/>
    <col min="30" max="30" width="6.26953125" bestFit="1" customWidth="1"/>
    <col min="31" max="31" width="5.1796875" bestFit="1" customWidth="1"/>
    <col min="32" max="33" width="6.26953125" bestFit="1" customWidth="1"/>
    <col min="34" max="34" width="5.1796875" bestFit="1" customWidth="1"/>
    <col min="35" max="35" width="6.26953125" bestFit="1" customWidth="1"/>
    <col min="36" max="36" width="5.1796875" bestFit="1" customWidth="1"/>
    <col min="37" max="37" width="6.26953125" bestFit="1" customWidth="1"/>
    <col min="38" max="38" width="5.1796875" bestFit="1" customWidth="1"/>
    <col min="39" max="39" width="6.26953125" bestFit="1" customWidth="1"/>
    <col min="40" max="40" width="5.1796875" bestFit="1" customWidth="1"/>
    <col min="41" max="43" width="6.26953125" bestFit="1" customWidth="1"/>
    <col min="44" max="45" width="5.1796875" bestFit="1" customWidth="1"/>
    <col min="46" max="46" width="6.26953125" bestFit="1" customWidth="1"/>
    <col min="47" max="47" width="4.1796875" bestFit="1" customWidth="1"/>
    <col min="48" max="48" width="5.1796875" bestFit="1" customWidth="1"/>
    <col min="49" max="49" width="6.26953125" bestFit="1" customWidth="1"/>
    <col min="50" max="50" width="5.1796875" bestFit="1" customWidth="1"/>
    <col min="51" max="51" width="6.26953125" bestFit="1" customWidth="1"/>
    <col min="52" max="52" width="4.1796875" bestFit="1" customWidth="1"/>
    <col min="53" max="53" width="5.1796875" bestFit="1" customWidth="1"/>
    <col min="54" max="55" width="6.26953125" bestFit="1" customWidth="1"/>
    <col min="56" max="56" width="4.1796875" bestFit="1" customWidth="1"/>
    <col min="57" max="59" width="6.26953125" bestFit="1" customWidth="1"/>
    <col min="60" max="60" width="5.1796875" bestFit="1" customWidth="1"/>
    <col min="61" max="62" width="6.26953125" bestFit="1" customWidth="1"/>
    <col min="63" max="63" width="5.1796875" bestFit="1" customWidth="1"/>
    <col min="64" max="64" width="6.26953125" bestFit="1" customWidth="1"/>
    <col min="65" max="66" width="5.1796875" bestFit="1" customWidth="1"/>
    <col min="67" max="69" width="6.26953125" bestFit="1" customWidth="1"/>
    <col min="70" max="70" width="5.1796875" bestFit="1" customWidth="1"/>
    <col min="71" max="71" width="6.26953125" bestFit="1" customWidth="1"/>
    <col min="72" max="76" width="5.1796875" bestFit="1" customWidth="1"/>
    <col min="77" max="77" width="6.26953125" bestFit="1" customWidth="1"/>
    <col min="78" max="78" width="5.1796875" bestFit="1" customWidth="1"/>
    <col min="79" max="79" width="4.1796875" bestFit="1" customWidth="1"/>
    <col min="80" max="82" width="5.1796875" bestFit="1" customWidth="1"/>
    <col min="83" max="83" width="6.26953125" bestFit="1" customWidth="1"/>
    <col min="84" max="84" width="5.1796875" bestFit="1" customWidth="1"/>
    <col min="85" max="87" width="6.26953125" bestFit="1" customWidth="1"/>
    <col min="88" max="88" width="5.1796875" bestFit="1" customWidth="1"/>
    <col min="89" max="90" width="6.26953125" bestFit="1" customWidth="1"/>
    <col min="91" max="91" width="4.1796875" bestFit="1" customWidth="1"/>
    <col min="92" max="92" width="6.26953125" bestFit="1" customWidth="1"/>
    <col min="93" max="93" width="4.1796875" bestFit="1" customWidth="1"/>
    <col min="94" max="94" width="6.26953125" bestFit="1" customWidth="1"/>
    <col min="95" max="96" width="5.1796875" bestFit="1" customWidth="1"/>
    <col min="97" max="101" width="6.26953125" bestFit="1" customWidth="1"/>
    <col min="102" max="104" width="5.1796875" bestFit="1" customWidth="1"/>
    <col min="105" max="106" width="6.26953125" bestFit="1" customWidth="1"/>
    <col min="107" max="107" width="5.1796875" bestFit="1" customWidth="1"/>
    <col min="108" max="108" width="6.26953125" bestFit="1" customWidth="1"/>
    <col min="109" max="109" width="4.1796875" bestFit="1" customWidth="1"/>
    <col min="110" max="113" width="5.1796875" bestFit="1" customWidth="1"/>
    <col min="114" max="116" width="4.1796875" bestFit="1" customWidth="1"/>
    <col min="117" max="118" width="5.1796875" bestFit="1" customWidth="1"/>
    <col min="119" max="120" width="4.1796875" bestFit="1" customWidth="1"/>
    <col min="121" max="123" width="5.1796875" bestFit="1" customWidth="1"/>
    <col min="124" max="124" width="4.1796875" bestFit="1" customWidth="1"/>
    <col min="125" max="125" width="11.36328125" bestFit="1" customWidth="1"/>
    <col min="126" max="159" width="4.1796875" bestFit="1" customWidth="1"/>
    <col min="160" max="160" width="6.26953125" bestFit="1" customWidth="1"/>
    <col min="161" max="165" width="4.1796875" bestFit="1" customWidth="1"/>
    <col min="166" max="166" width="6.26953125" bestFit="1" customWidth="1"/>
    <col min="167" max="168" width="4.1796875" bestFit="1" customWidth="1"/>
    <col min="169" max="169" width="6.26953125" bestFit="1" customWidth="1"/>
    <col min="170" max="171" width="4.1796875" bestFit="1" customWidth="1"/>
    <col min="172" max="172" width="6.26953125" bestFit="1" customWidth="1"/>
    <col min="173" max="176" width="4.1796875" bestFit="1" customWidth="1"/>
    <col min="177" max="177" width="6.26953125" bestFit="1" customWidth="1"/>
    <col min="178" max="178" width="5.1796875" bestFit="1" customWidth="1"/>
    <col min="179" max="181" width="4.1796875" bestFit="1" customWidth="1"/>
    <col min="182" max="182" width="5.1796875" bestFit="1" customWidth="1"/>
    <col min="183" max="186" width="4.1796875" bestFit="1" customWidth="1"/>
    <col min="187" max="187" width="5.1796875" bestFit="1" customWidth="1"/>
    <col min="188" max="205" width="4.1796875" bestFit="1" customWidth="1"/>
    <col min="206" max="206" width="5.1796875" bestFit="1" customWidth="1"/>
    <col min="207" max="207" width="4.1796875" bestFit="1" customWidth="1"/>
    <col min="208" max="208" width="5.1796875" bestFit="1" customWidth="1"/>
    <col min="209" max="219" width="4.1796875" bestFit="1" customWidth="1"/>
    <col min="220" max="220" width="5.1796875" bestFit="1" customWidth="1"/>
    <col min="221" max="227" width="4.1796875" bestFit="1" customWidth="1"/>
    <col min="228" max="229" width="5.1796875" bestFit="1" customWidth="1"/>
    <col min="230" max="230" width="4.1796875" bestFit="1" customWidth="1"/>
    <col min="231" max="231" width="5.1796875" bestFit="1" customWidth="1"/>
    <col min="232" max="247" width="4.1796875" bestFit="1" customWidth="1"/>
    <col min="248" max="248" width="23.08984375" bestFit="1" customWidth="1"/>
    <col min="249" max="249" width="16.08984375" bestFit="1" customWidth="1"/>
  </cols>
  <sheetData>
    <row r="3" spans="1:2" x14ac:dyDescent="0.35">
      <c r="A3" s="1" t="s">
        <v>6</v>
      </c>
      <c r="B3" t="s">
        <v>54</v>
      </c>
    </row>
    <row r="4" spans="1:2" x14ac:dyDescent="0.35">
      <c r="A4" s="2" t="s">
        <v>8</v>
      </c>
      <c r="B4" s="3">
        <v>629.46153846153845</v>
      </c>
    </row>
    <row r="5" spans="1:2" x14ac:dyDescent="0.35">
      <c r="A5" s="2" t="s">
        <v>9</v>
      </c>
      <c r="B5" s="3">
        <v>628.46153846153845</v>
      </c>
    </row>
    <row r="6" spans="1:2" x14ac:dyDescent="0.35">
      <c r="A6" s="2" t="s">
        <v>10</v>
      </c>
      <c r="B6" s="3">
        <v>398.30769230769232</v>
      </c>
    </row>
    <row r="7" spans="1:2" x14ac:dyDescent="0.35">
      <c r="A7" s="2" t="s">
        <v>11</v>
      </c>
      <c r="B7" s="3">
        <v>394.15384615384613</v>
      </c>
    </row>
    <row r="8" spans="1:2" x14ac:dyDescent="0.35">
      <c r="A8" s="2" t="s">
        <v>12</v>
      </c>
      <c r="B8" s="3">
        <v>400.92307692307691</v>
      </c>
    </row>
    <row r="9" spans="1:2" x14ac:dyDescent="0.35">
      <c r="A9" s="2" t="s">
        <v>13</v>
      </c>
      <c r="B9" s="3">
        <v>389.53846153846155</v>
      </c>
    </row>
    <row r="10" spans="1:2" x14ac:dyDescent="0.35">
      <c r="A10" s="2" t="s">
        <v>14</v>
      </c>
      <c r="B10" s="3">
        <v>324.46153846153845</v>
      </c>
    </row>
    <row r="11" spans="1:2" x14ac:dyDescent="0.35">
      <c r="A11" s="2" t="s">
        <v>15</v>
      </c>
      <c r="B11" s="3">
        <v>314.76923076923077</v>
      </c>
    </row>
    <row r="12" spans="1:2" x14ac:dyDescent="0.35">
      <c r="A12" s="2" t="s">
        <v>16</v>
      </c>
      <c r="B12" s="3">
        <v>326.53846153846155</v>
      </c>
    </row>
    <row r="13" spans="1:2" x14ac:dyDescent="0.35">
      <c r="A13" s="2" t="s">
        <v>17</v>
      </c>
      <c r="B13" s="3">
        <v>336.92307692307691</v>
      </c>
    </row>
    <row r="14" spans="1:2" x14ac:dyDescent="0.35">
      <c r="A14" s="2" t="s">
        <v>18</v>
      </c>
      <c r="B14" s="3">
        <v>656.07692307692309</v>
      </c>
    </row>
    <row r="15" spans="1:2" x14ac:dyDescent="0.35">
      <c r="A15" s="2" t="s">
        <v>19</v>
      </c>
      <c r="B15" s="3">
        <v>638.25</v>
      </c>
    </row>
    <row r="16" spans="1:2" x14ac:dyDescent="0.35">
      <c r="A16" s="2" t="s">
        <v>7</v>
      </c>
      <c r="B16" s="3">
        <v>451.96129032258062</v>
      </c>
    </row>
    <row r="18" spans="1:2" x14ac:dyDescent="0.35">
      <c r="A18" s="1" t="s">
        <v>6</v>
      </c>
      <c r="B18" t="s">
        <v>55</v>
      </c>
    </row>
    <row r="19" spans="1:2" x14ac:dyDescent="0.35">
      <c r="A19" s="2" t="s">
        <v>8</v>
      </c>
      <c r="B19" s="3">
        <v>604.07692307692309</v>
      </c>
    </row>
    <row r="20" spans="1:2" x14ac:dyDescent="0.35">
      <c r="A20" s="2" t="s">
        <v>9</v>
      </c>
      <c r="B20" s="3">
        <v>608.76923076923072</v>
      </c>
    </row>
    <row r="21" spans="1:2" x14ac:dyDescent="0.35">
      <c r="A21" s="2" t="s">
        <v>10</v>
      </c>
      <c r="B21" s="3">
        <v>399.69230769230768</v>
      </c>
    </row>
    <row r="22" spans="1:2" x14ac:dyDescent="0.35">
      <c r="A22" s="2" t="s">
        <v>11</v>
      </c>
      <c r="B22" s="3">
        <v>369.92307692307691</v>
      </c>
    </row>
    <row r="23" spans="1:2" x14ac:dyDescent="0.35">
      <c r="A23" s="2" t="s">
        <v>12</v>
      </c>
      <c r="B23" s="3">
        <v>367.61538461538464</v>
      </c>
    </row>
    <row r="24" spans="1:2" x14ac:dyDescent="0.35">
      <c r="A24" s="2" t="s">
        <v>13</v>
      </c>
      <c r="B24" s="3">
        <v>370.07692307692309</v>
      </c>
    </row>
    <row r="25" spans="1:2" x14ac:dyDescent="0.35">
      <c r="A25" s="2" t="s">
        <v>14</v>
      </c>
      <c r="B25" s="3">
        <v>309.15384615384613</v>
      </c>
    </row>
    <row r="26" spans="1:2" x14ac:dyDescent="0.35">
      <c r="A26" s="2" t="s">
        <v>15</v>
      </c>
      <c r="B26" s="3">
        <v>302.30769230769232</v>
      </c>
    </row>
    <row r="27" spans="1:2" x14ac:dyDescent="0.35">
      <c r="A27" s="2" t="s">
        <v>16</v>
      </c>
      <c r="B27" s="3">
        <v>323.53846153846155</v>
      </c>
    </row>
    <row r="28" spans="1:2" x14ac:dyDescent="0.35">
      <c r="A28" s="2" t="s">
        <v>17</v>
      </c>
      <c r="B28" s="3">
        <v>326.76923076923077</v>
      </c>
    </row>
    <row r="29" spans="1:2" x14ac:dyDescent="0.35">
      <c r="A29" s="2" t="s">
        <v>18</v>
      </c>
      <c r="B29" s="3">
        <v>620.92307692307691</v>
      </c>
    </row>
    <row r="30" spans="1:2" x14ac:dyDescent="0.35">
      <c r="A30" s="2" t="s">
        <v>19</v>
      </c>
      <c r="B30" s="3">
        <v>602.58333333333337</v>
      </c>
    </row>
    <row r="31" spans="1:2" x14ac:dyDescent="0.35">
      <c r="A31" s="2" t="s">
        <v>7</v>
      </c>
      <c r="B31" s="3">
        <v>432.69677419354838</v>
      </c>
    </row>
    <row r="35" spans="1:4" x14ac:dyDescent="0.35">
      <c r="A35" s="1" t="s">
        <v>6</v>
      </c>
      <c r="B35" t="s">
        <v>63</v>
      </c>
      <c r="C35" t="s">
        <v>54</v>
      </c>
      <c r="D35" t="s">
        <v>55</v>
      </c>
    </row>
    <row r="36" spans="1:4" x14ac:dyDescent="0.35">
      <c r="A36" s="2" t="s">
        <v>8</v>
      </c>
      <c r="B36" s="3">
        <v>242552.7506153846</v>
      </c>
      <c r="C36" s="3">
        <v>629.46153846153845</v>
      </c>
      <c r="D36" s="3">
        <v>604.07692307692309</v>
      </c>
    </row>
    <row r="37" spans="1:4" x14ac:dyDescent="0.35">
      <c r="A37" s="2" t="s">
        <v>9</v>
      </c>
      <c r="B37" s="3">
        <v>233041.22476923079</v>
      </c>
      <c r="C37" s="3">
        <v>628.46153846153845</v>
      </c>
      <c r="D37" s="3">
        <v>608.76923076923072</v>
      </c>
    </row>
    <row r="38" spans="1:4" x14ac:dyDescent="0.35">
      <c r="A38" s="2" t="s">
        <v>10</v>
      </c>
      <c r="B38" s="3">
        <v>223529.69123076927</v>
      </c>
      <c r="C38" s="3">
        <v>398.30769230769232</v>
      </c>
      <c r="D38" s="3">
        <v>399.69230769230768</v>
      </c>
    </row>
    <row r="39" spans="1:4" x14ac:dyDescent="0.35">
      <c r="A39" s="2" t="s">
        <v>11</v>
      </c>
      <c r="B39" s="3">
        <v>214018.13976923077</v>
      </c>
      <c r="C39" s="3">
        <v>394.15384615384613</v>
      </c>
      <c r="D39" s="3">
        <v>369.92307692307691</v>
      </c>
    </row>
    <row r="40" spans="1:4" x14ac:dyDescent="0.35">
      <c r="A40" s="2" t="s">
        <v>12</v>
      </c>
      <c r="B40" s="3">
        <v>214823.06284615383</v>
      </c>
      <c r="C40" s="3">
        <v>400.92307692307691</v>
      </c>
      <c r="D40" s="3">
        <v>367.61538461538464</v>
      </c>
    </row>
    <row r="41" spans="1:4" x14ac:dyDescent="0.35">
      <c r="A41" s="2" t="s">
        <v>13</v>
      </c>
      <c r="B41" s="3">
        <v>215627.98592307692</v>
      </c>
      <c r="C41" s="3">
        <v>389.53846153846155</v>
      </c>
      <c r="D41" s="3">
        <v>370.07692307692309</v>
      </c>
    </row>
    <row r="42" spans="1:4" x14ac:dyDescent="0.35">
      <c r="A42" s="2" t="s">
        <v>14</v>
      </c>
      <c r="B42" s="3">
        <v>216432.90899999999</v>
      </c>
      <c r="C42" s="3">
        <v>324.46153846153845</v>
      </c>
      <c r="D42" s="3">
        <v>309.15384615384613</v>
      </c>
    </row>
    <row r="43" spans="1:4" x14ac:dyDescent="0.35">
      <c r="A43" s="2" t="s">
        <v>15</v>
      </c>
      <c r="B43" s="3">
        <v>220842.90823076924</v>
      </c>
      <c r="C43" s="3">
        <v>314.76923076923077</v>
      </c>
      <c r="D43" s="3">
        <v>302.30769230769232</v>
      </c>
    </row>
    <row r="44" spans="1:4" x14ac:dyDescent="0.35">
      <c r="A44" s="2" t="s">
        <v>16</v>
      </c>
      <c r="B44" s="3">
        <v>225252.90746153847</v>
      </c>
      <c r="C44" s="3">
        <v>326.53846153846155</v>
      </c>
      <c r="D44" s="3">
        <v>323.53846153846155</v>
      </c>
    </row>
    <row r="45" spans="1:4" x14ac:dyDescent="0.35">
      <c r="A45" s="2" t="s">
        <v>17</v>
      </c>
      <c r="B45" s="3">
        <v>229662.90669230773</v>
      </c>
      <c r="C45" s="3">
        <v>336.92307692307691</v>
      </c>
      <c r="D45" s="3">
        <v>326.76923076923077</v>
      </c>
    </row>
    <row r="46" spans="1:4" x14ac:dyDescent="0.35">
      <c r="A46" s="2" t="s">
        <v>18</v>
      </c>
      <c r="B46" s="3">
        <v>235733.39338461537</v>
      </c>
      <c r="C46" s="3">
        <v>656.07692307692309</v>
      </c>
      <c r="D46" s="3">
        <v>620.92307692307691</v>
      </c>
    </row>
    <row r="47" spans="1:4" x14ac:dyDescent="0.35">
      <c r="A47" s="2" t="s">
        <v>19</v>
      </c>
      <c r="B47" s="3">
        <v>240893.25841666662</v>
      </c>
      <c r="C47" s="3">
        <v>638.25</v>
      </c>
      <c r="D47" s="3">
        <v>602.58333333333337</v>
      </c>
    </row>
    <row r="48" spans="1:4" x14ac:dyDescent="0.35">
      <c r="A48" s="2" t="s">
        <v>7</v>
      </c>
      <c r="B48" s="3">
        <v>225938.39703225796</v>
      </c>
      <c r="C48" s="3">
        <v>451.96129032258062</v>
      </c>
      <c r="D48" s="3">
        <v>432.69677419354838</v>
      </c>
    </row>
    <row r="51" spans="1:4" x14ac:dyDescent="0.35">
      <c r="A51" s="1" t="s">
        <v>6</v>
      </c>
      <c r="B51" t="s">
        <v>64</v>
      </c>
      <c r="C51" t="s">
        <v>54</v>
      </c>
      <c r="D51" t="s">
        <v>55</v>
      </c>
    </row>
    <row r="52" spans="1:4" x14ac:dyDescent="0.35">
      <c r="A52" s="2" t="s">
        <v>8</v>
      </c>
      <c r="B52" s="3">
        <v>130799.04692307694</v>
      </c>
      <c r="C52" s="3">
        <v>629.46153846153845</v>
      </c>
      <c r="D52" s="3">
        <v>604.07692307692309</v>
      </c>
    </row>
    <row r="53" spans="1:4" x14ac:dyDescent="0.35">
      <c r="A53" s="2" t="s">
        <v>9</v>
      </c>
      <c r="B53" s="3">
        <v>131952.77384615384</v>
      </c>
      <c r="C53" s="3">
        <v>628.46153846153845</v>
      </c>
      <c r="D53" s="3">
        <v>608.76923076923072</v>
      </c>
    </row>
    <row r="54" spans="1:4" x14ac:dyDescent="0.35">
      <c r="A54" s="2" t="s">
        <v>10</v>
      </c>
      <c r="B54" s="3">
        <v>133106.49769230772</v>
      </c>
      <c r="C54" s="3">
        <v>398.30769230769232</v>
      </c>
      <c r="D54" s="3">
        <v>399.69230769230768</v>
      </c>
    </row>
    <row r="55" spans="1:4" x14ac:dyDescent="0.35">
      <c r="A55" s="2" t="s">
        <v>11</v>
      </c>
      <c r="B55" s="3">
        <v>134240.39076923075</v>
      </c>
      <c r="C55" s="3">
        <v>394.15384615384613</v>
      </c>
      <c r="D55" s="3">
        <v>369.92307692307691</v>
      </c>
    </row>
    <row r="56" spans="1:4" x14ac:dyDescent="0.35">
      <c r="A56" s="2" t="s">
        <v>12</v>
      </c>
      <c r="B56" s="3">
        <v>135394.11615384615</v>
      </c>
      <c r="C56" s="3">
        <v>400.92307692307691</v>
      </c>
      <c r="D56" s="3">
        <v>367.61538461538464</v>
      </c>
    </row>
    <row r="57" spans="1:4" x14ac:dyDescent="0.35">
      <c r="A57" s="2" t="s">
        <v>13</v>
      </c>
      <c r="B57" s="3">
        <v>136547.84230769234</v>
      </c>
      <c r="C57" s="3">
        <v>389.53846153846155</v>
      </c>
      <c r="D57" s="3">
        <v>370.07692307692309</v>
      </c>
    </row>
    <row r="58" spans="1:4" x14ac:dyDescent="0.35">
      <c r="A58" s="2" t="s">
        <v>14</v>
      </c>
      <c r="B58" s="3">
        <v>137701.56692307693</v>
      </c>
      <c r="C58" s="3">
        <v>324.46153846153845</v>
      </c>
      <c r="D58" s="3">
        <v>309.15384615384613</v>
      </c>
    </row>
    <row r="59" spans="1:4" x14ac:dyDescent="0.35">
      <c r="A59" s="2" t="s">
        <v>15</v>
      </c>
      <c r="B59" s="3">
        <v>138855.29230769229</v>
      </c>
      <c r="C59" s="3">
        <v>314.76923076923077</v>
      </c>
      <c r="D59" s="3">
        <v>302.30769230769232</v>
      </c>
    </row>
    <row r="60" spans="1:4" x14ac:dyDescent="0.35">
      <c r="A60" s="2" t="s">
        <v>16</v>
      </c>
      <c r="B60" s="3">
        <v>140009.01769230768</v>
      </c>
      <c r="C60" s="3">
        <v>326.53846153846155</v>
      </c>
      <c r="D60" s="3">
        <v>323.53846153846155</v>
      </c>
    </row>
    <row r="61" spans="1:4" x14ac:dyDescent="0.35">
      <c r="A61" s="2" t="s">
        <v>17</v>
      </c>
      <c r="B61" s="3">
        <v>141162.74307692307</v>
      </c>
      <c r="C61" s="3">
        <v>336.92307692307691</v>
      </c>
      <c r="D61" s="3">
        <v>326.76923076923077</v>
      </c>
    </row>
    <row r="62" spans="1:4" x14ac:dyDescent="0.35">
      <c r="A62" s="2" t="s">
        <v>18</v>
      </c>
      <c r="B62" s="3">
        <v>142316.46846153846</v>
      </c>
      <c r="C62" s="3">
        <v>656.07692307692309</v>
      </c>
      <c r="D62" s="3">
        <v>620.92307692307691</v>
      </c>
    </row>
    <row r="63" spans="1:4" x14ac:dyDescent="0.35">
      <c r="A63" s="2" t="s">
        <v>19</v>
      </c>
      <c r="B63" s="3">
        <v>135573.62000000002</v>
      </c>
      <c r="C63" s="3">
        <v>638.25</v>
      </c>
      <c r="D63" s="3">
        <v>602.58333333333337</v>
      </c>
    </row>
    <row r="64" spans="1:4" x14ac:dyDescent="0.35">
      <c r="A64" s="2" t="s">
        <v>7</v>
      </c>
      <c r="B64" s="3">
        <v>136477.40819354833</v>
      </c>
      <c r="C64" s="3">
        <v>451.96129032258062</v>
      </c>
      <c r="D64" s="3">
        <v>432.69677419354838</v>
      </c>
    </row>
    <row r="67" spans="1:4" x14ac:dyDescent="0.35">
      <c r="A67" s="1" t="s">
        <v>6</v>
      </c>
      <c r="B67" t="s">
        <v>65</v>
      </c>
      <c r="C67" t="s">
        <v>66</v>
      </c>
      <c r="D67" t="s">
        <v>55</v>
      </c>
    </row>
    <row r="68" spans="1:4" x14ac:dyDescent="0.35">
      <c r="A68" s="2" t="s">
        <v>8</v>
      </c>
      <c r="B68" s="20">
        <v>9.5246153846153838</v>
      </c>
      <c r="C68" s="3">
        <v>626.30769230769226</v>
      </c>
      <c r="D68" s="3">
        <v>604.07692307692309</v>
      </c>
    </row>
    <row r="69" spans="1:4" x14ac:dyDescent="0.35">
      <c r="A69" s="2" t="s">
        <v>9</v>
      </c>
      <c r="B69" s="20">
        <v>9.5146153846153858</v>
      </c>
      <c r="C69" s="3">
        <v>606.5846153846154</v>
      </c>
      <c r="D69" s="3">
        <v>608.76923076923072</v>
      </c>
    </row>
    <row r="70" spans="1:4" x14ac:dyDescent="0.35">
      <c r="A70" s="2" t="s">
        <v>10</v>
      </c>
      <c r="B70" s="20">
        <v>9.5030769230769252</v>
      </c>
      <c r="C70" s="3">
        <v>410.73846153846159</v>
      </c>
      <c r="D70" s="3">
        <v>399.69230769230768</v>
      </c>
    </row>
    <row r="71" spans="1:4" x14ac:dyDescent="0.35">
      <c r="A71" s="2" t="s">
        <v>11</v>
      </c>
      <c r="B71" s="20">
        <v>9.4923076923076941</v>
      </c>
      <c r="C71" s="3">
        <v>390.66923076923075</v>
      </c>
      <c r="D71" s="3">
        <v>369.92307692307691</v>
      </c>
    </row>
    <row r="72" spans="1:4" x14ac:dyDescent="0.35">
      <c r="A72" s="2" t="s">
        <v>12</v>
      </c>
      <c r="B72" s="20">
        <v>9.4823076923076925</v>
      </c>
      <c r="C72" s="3">
        <v>389.06153846153848</v>
      </c>
      <c r="D72" s="3">
        <v>367.61538461538464</v>
      </c>
    </row>
    <row r="73" spans="1:4" x14ac:dyDescent="0.35">
      <c r="A73" s="2" t="s">
        <v>13</v>
      </c>
      <c r="B73" s="20">
        <v>9.4715384615384615</v>
      </c>
      <c r="C73" s="3">
        <v>390.53076923076918</v>
      </c>
      <c r="D73" s="3">
        <v>370.07692307692309</v>
      </c>
    </row>
    <row r="74" spans="1:4" x14ac:dyDescent="0.35">
      <c r="A74" s="2" t="s">
        <v>14</v>
      </c>
      <c r="B74" s="20">
        <v>9.4615384615384617</v>
      </c>
      <c r="C74" s="3">
        <v>330.92307692307691</v>
      </c>
      <c r="D74" s="3">
        <v>309.15384615384613</v>
      </c>
    </row>
    <row r="75" spans="1:4" x14ac:dyDescent="0.35">
      <c r="A75" s="2" t="s">
        <v>15</v>
      </c>
      <c r="B75" s="20">
        <v>9.4507692307692306</v>
      </c>
      <c r="C75" s="3">
        <v>313.61538461538464</v>
      </c>
      <c r="D75" s="3">
        <v>302.30769230769232</v>
      </c>
    </row>
    <row r="76" spans="1:4" x14ac:dyDescent="0.35">
      <c r="A76" s="2" t="s">
        <v>16</v>
      </c>
      <c r="B76" s="20">
        <v>9.43923076923077</v>
      </c>
      <c r="C76" s="3">
        <v>337.15384615384613</v>
      </c>
      <c r="D76" s="3">
        <v>323.53846153846155</v>
      </c>
    </row>
    <row r="77" spans="1:4" x14ac:dyDescent="0.35">
      <c r="A77" s="2" t="s">
        <v>17</v>
      </c>
      <c r="B77" s="20">
        <v>9.4284615384615389</v>
      </c>
      <c r="C77" s="3">
        <v>350.61538461538464</v>
      </c>
      <c r="D77" s="3">
        <v>326.76923076923077</v>
      </c>
    </row>
    <row r="78" spans="1:4" x14ac:dyDescent="0.35">
      <c r="A78" s="2" t="s">
        <v>18</v>
      </c>
      <c r="B78" s="20">
        <v>9.426153846153845</v>
      </c>
      <c r="C78" s="3">
        <v>654.76923076923072</v>
      </c>
      <c r="D78" s="3">
        <v>620.92307692307691</v>
      </c>
    </row>
    <row r="79" spans="1:4" x14ac:dyDescent="0.35">
      <c r="A79" s="2" t="s">
        <v>19</v>
      </c>
      <c r="B79" s="20">
        <v>9.4783333333333317</v>
      </c>
      <c r="C79" s="3">
        <v>629.5</v>
      </c>
      <c r="D79" s="3">
        <v>602.58333333333337</v>
      </c>
    </row>
    <row r="80" spans="1:4" x14ac:dyDescent="0.35">
      <c r="A80" s="2" t="s">
        <v>7</v>
      </c>
      <c r="B80" s="20">
        <v>9.4727096774193544</v>
      </c>
      <c r="C80" s="3">
        <v>451.39741935483875</v>
      </c>
      <c r="D80" s="3">
        <v>432.69677419354838</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B9396-C0B8-4972-B3ED-57129B49ADFE}">
  <dimension ref="E2"/>
  <sheetViews>
    <sheetView topLeftCell="A19" zoomScale="80" zoomScaleNormal="80" workbookViewId="0">
      <selection activeCell="N2" sqref="N2"/>
    </sheetView>
  </sheetViews>
  <sheetFormatPr defaultRowHeight="14.5" x14ac:dyDescent="0.35"/>
  <sheetData>
    <row r="2" spans="5:5" x14ac:dyDescent="0.35">
      <c r="E2" t="s">
        <v>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2EDD6-9C4D-416E-8119-882360DB616B}">
  <dimension ref="A1"/>
  <sheetViews>
    <sheetView topLeftCell="A7" workbookViewId="0"/>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DD79C-202E-4E22-AAB7-43826D9DAF4B}">
  <dimension ref="A1:R180"/>
  <sheetViews>
    <sheetView zoomScale="64" zoomScaleNormal="88" workbookViewId="0">
      <selection activeCell="D2" sqref="D2:D156"/>
    </sheetView>
  </sheetViews>
  <sheetFormatPr defaultRowHeight="14.5" x14ac:dyDescent="0.35"/>
  <cols>
    <col min="1" max="1" width="12" customWidth="1"/>
    <col min="2" max="4" width="14.7265625" customWidth="1"/>
    <col min="5" max="5" width="14.453125" customWidth="1"/>
    <col min="6" max="6" width="12.90625" customWidth="1"/>
    <col min="7" max="7" width="15.54296875" customWidth="1"/>
    <col min="8" max="8" width="16.90625" customWidth="1"/>
    <col min="10" max="10" width="60.54296875" customWidth="1"/>
    <col min="11" max="11" width="22.90625" customWidth="1"/>
    <col min="12" max="12" width="20.81640625" customWidth="1"/>
    <col min="13" max="13" width="16.26953125" customWidth="1"/>
    <col min="14" max="14" width="12" customWidth="1"/>
    <col min="15" max="15" width="19" customWidth="1"/>
    <col min="16" max="16" width="16.54296875" customWidth="1"/>
    <col min="17" max="17" width="18.1796875" customWidth="1"/>
    <col min="18" max="18" width="22.36328125" customWidth="1"/>
  </cols>
  <sheetData>
    <row r="1" spans="1:15" x14ac:dyDescent="0.35">
      <c r="A1" t="s">
        <v>22</v>
      </c>
      <c r="B1" t="s">
        <v>0</v>
      </c>
      <c r="C1" t="s">
        <v>20</v>
      </c>
      <c r="D1" t="s">
        <v>1</v>
      </c>
      <c r="E1" t="s">
        <v>2</v>
      </c>
      <c r="F1" t="s">
        <v>3</v>
      </c>
      <c r="G1" t="s">
        <v>21</v>
      </c>
      <c r="H1" t="s">
        <v>4</v>
      </c>
    </row>
    <row r="2" spans="1:15" x14ac:dyDescent="0.35">
      <c r="A2" s="6">
        <v>45667</v>
      </c>
      <c r="B2" s="4">
        <v>347</v>
      </c>
      <c r="C2" s="15">
        <v>322</v>
      </c>
      <c r="D2" s="15">
        <v>346</v>
      </c>
      <c r="E2" s="4">
        <v>122.4</v>
      </c>
      <c r="F2" s="4">
        <v>182277</v>
      </c>
      <c r="G2" s="4">
        <v>60314</v>
      </c>
      <c r="H2" s="4">
        <v>10.25</v>
      </c>
      <c r="J2" t="s">
        <v>57</v>
      </c>
    </row>
    <row r="3" spans="1:15" ht="15" thickBot="1" x14ac:dyDescent="0.4">
      <c r="A3" s="7">
        <v>45668</v>
      </c>
      <c r="B3" s="5">
        <v>391</v>
      </c>
      <c r="C3" s="14">
        <v>374</v>
      </c>
      <c r="D3" s="14">
        <v>354</v>
      </c>
      <c r="E3" s="5">
        <v>124.1</v>
      </c>
      <c r="F3" s="5">
        <v>198039</v>
      </c>
      <c r="G3" s="5">
        <v>71113</v>
      </c>
      <c r="H3" s="5">
        <v>11.25</v>
      </c>
    </row>
    <row r="4" spans="1:15" x14ac:dyDescent="0.35">
      <c r="A4" s="6">
        <v>45669</v>
      </c>
      <c r="B4" s="4">
        <v>560</v>
      </c>
      <c r="C4" s="14">
        <v>565</v>
      </c>
      <c r="D4" s="14">
        <v>570</v>
      </c>
      <c r="E4" s="4">
        <v>125.8</v>
      </c>
      <c r="F4" s="4">
        <v>204132.99</v>
      </c>
      <c r="G4" s="4">
        <v>82452</v>
      </c>
      <c r="H4" s="4">
        <v>13.25</v>
      </c>
      <c r="J4" s="13" t="s">
        <v>23</v>
      </c>
      <c r="K4" s="13"/>
    </row>
    <row r="5" spans="1:15" x14ac:dyDescent="0.35">
      <c r="A5" s="7">
        <v>45670</v>
      </c>
      <c r="B5" s="5">
        <v>591</v>
      </c>
      <c r="C5" s="14">
        <v>580</v>
      </c>
      <c r="D5" s="14">
        <v>580</v>
      </c>
      <c r="E5" s="5">
        <v>127.4</v>
      </c>
      <c r="F5" s="5">
        <v>209977.98</v>
      </c>
      <c r="G5" s="5">
        <v>92455</v>
      </c>
      <c r="H5" s="5">
        <v>11</v>
      </c>
      <c r="J5" s="10" t="s">
        <v>24</v>
      </c>
      <c r="K5" s="10">
        <v>0.6259583009410552</v>
      </c>
    </row>
    <row r="6" spans="1:15" x14ac:dyDescent="0.35">
      <c r="A6" s="6">
        <v>45671</v>
      </c>
      <c r="B6" s="4">
        <v>592</v>
      </c>
      <c r="C6" s="14">
        <v>584</v>
      </c>
      <c r="D6" s="14">
        <v>600</v>
      </c>
      <c r="E6" s="4">
        <v>129.1</v>
      </c>
      <c r="F6" s="4">
        <v>209126.97</v>
      </c>
      <c r="G6" s="4">
        <v>105780</v>
      </c>
      <c r="H6" s="4">
        <v>10.25</v>
      </c>
      <c r="J6" s="10" t="s">
        <v>25</v>
      </c>
      <c r="K6" s="10">
        <v>0.39182379451701266</v>
      </c>
      <c r="L6" t="s">
        <v>58</v>
      </c>
    </row>
    <row r="7" spans="1:15" x14ac:dyDescent="0.35">
      <c r="A7" s="7">
        <v>45672</v>
      </c>
      <c r="B7" s="5">
        <v>531</v>
      </c>
      <c r="C7" s="14">
        <v>503</v>
      </c>
      <c r="D7" s="14">
        <v>531</v>
      </c>
      <c r="E7" s="5">
        <v>130.69999999999999</v>
      </c>
      <c r="F7" s="5">
        <v>214179.97200000001</v>
      </c>
      <c r="G7" s="5">
        <v>110374</v>
      </c>
      <c r="H7" s="5">
        <v>10.220000000000001</v>
      </c>
      <c r="J7" s="10" t="s">
        <v>26</v>
      </c>
      <c r="K7" s="10">
        <v>0.38376848053710549</v>
      </c>
    </row>
    <row r="8" spans="1:15" x14ac:dyDescent="0.35">
      <c r="A8" s="6">
        <v>45673</v>
      </c>
      <c r="B8" s="4">
        <v>583</v>
      </c>
      <c r="C8" s="14">
        <v>574</v>
      </c>
      <c r="D8" s="14">
        <v>575</v>
      </c>
      <c r="E8" s="4">
        <v>132.30000000000001</v>
      </c>
      <c r="F8" s="4">
        <v>224842.98300000001</v>
      </c>
      <c r="G8" s="4">
        <v>145384</v>
      </c>
      <c r="H8" s="4">
        <v>9.4</v>
      </c>
      <c r="J8" s="10" t="s">
        <v>27</v>
      </c>
      <c r="K8" s="10">
        <v>27648.59786462328</v>
      </c>
    </row>
    <row r="9" spans="1:15" ht="15" thickBot="1" x14ac:dyDescent="0.4">
      <c r="A9" s="7">
        <v>45674</v>
      </c>
      <c r="B9" s="5">
        <v>721</v>
      </c>
      <c r="C9" s="14">
        <v>700</v>
      </c>
      <c r="D9" s="14">
        <v>708</v>
      </c>
      <c r="E9" s="5">
        <v>133.9</v>
      </c>
      <c r="F9" s="5">
        <v>226631.973</v>
      </c>
      <c r="G9" s="5">
        <v>171227</v>
      </c>
      <c r="H9" s="5">
        <v>9</v>
      </c>
      <c r="J9" s="11" t="s">
        <v>28</v>
      </c>
      <c r="K9" s="11">
        <v>154</v>
      </c>
    </row>
    <row r="10" spans="1:15" x14ac:dyDescent="0.35">
      <c r="A10" s="6">
        <v>45675</v>
      </c>
      <c r="B10" s="4">
        <v>755</v>
      </c>
      <c r="C10" s="14">
        <v>734</v>
      </c>
      <c r="D10" s="14">
        <v>783</v>
      </c>
      <c r="E10" s="4">
        <v>135.4</v>
      </c>
      <c r="F10" s="4">
        <v>258265.962</v>
      </c>
      <c r="G10" s="4">
        <v>151837.04</v>
      </c>
      <c r="H10" s="4">
        <v>8.5</v>
      </c>
    </row>
    <row r="11" spans="1:15" ht="15" thickBot="1" x14ac:dyDescent="0.4">
      <c r="A11" s="7">
        <v>45676</v>
      </c>
      <c r="B11" s="5">
        <v>791</v>
      </c>
      <c r="C11" s="14">
        <v>771</v>
      </c>
      <c r="D11" s="14">
        <v>764</v>
      </c>
      <c r="E11" s="5">
        <v>136.9</v>
      </c>
      <c r="F11" s="5">
        <v>275227.962</v>
      </c>
      <c r="G11" s="5">
        <v>150337</v>
      </c>
      <c r="H11" s="5">
        <v>8</v>
      </c>
      <c r="J11" t="s">
        <v>29</v>
      </c>
    </row>
    <row r="12" spans="1:15" x14ac:dyDescent="0.35">
      <c r="A12" s="6">
        <v>45677</v>
      </c>
      <c r="B12" s="4">
        <v>675</v>
      </c>
      <c r="C12" s="14">
        <v>514</v>
      </c>
      <c r="D12" s="14">
        <v>686</v>
      </c>
      <c r="E12" s="4">
        <v>138.30000000000001</v>
      </c>
      <c r="F12" s="4">
        <v>280450.95299999998</v>
      </c>
      <c r="G12" s="4">
        <v>152902</v>
      </c>
      <c r="H12" s="4">
        <v>7</v>
      </c>
      <c r="J12" s="12"/>
      <c r="K12" s="12" t="s">
        <v>34</v>
      </c>
      <c r="L12" s="12" t="s">
        <v>35</v>
      </c>
      <c r="M12" s="12" t="s">
        <v>36</v>
      </c>
      <c r="N12" s="12" t="s">
        <v>37</v>
      </c>
      <c r="O12" s="12" t="s">
        <v>38</v>
      </c>
    </row>
    <row r="13" spans="1:15" x14ac:dyDescent="0.35">
      <c r="A13" s="7">
        <v>45678</v>
      </c>
      <c r="B13" s="5">
        <v>821</v>
      </c>
      <c r="C13" s="14">
        <v>809</v>
      </c>
      <c r="D13" s="14">
        <v>810</v>
      </c>
      <c r="E13" s="5">
        <v>139.6</v>
      </c>
      <c r="F13" s="5">
        <v>331749.033</v>
      </c>
      <c r="G13" s="5">
        <v>190710</v>
      </c>
      <c r="H13" s="5">
        <v>7.6</v>
      </c>
      <c r="J13" s="10" t="s">
        <v>30</v>
      </c>
      <c r="K13" s="10">
        <v>2</v>
      </c>
      <c r="L13" s="10">
        <v>74367734688.896439</v>
      </c>
      <c r="M13" s="10">
        <v>37183867344.448219</v>
      </c>
      <c r="N13" s="10">
        <v>48.64165388144567</v>
      </c>
      <c r="O13" s="10">
        <v>4.9456292943887744E-17</v>
      </c>
    </row>
    <row r="14" spans="1:15" x14ac:dyDescent="0.35">
      <c r="A14" s="6">
        <v>45679</v>
      </c>
      <c r="B14" s="4">
        <v>825</v>
      </c>
      <c r="C14" s="14">
        <v>823</v>
      </c>
      <c r="D14" s="14">
        <v>835</v>
      </c>
      <c r="E14" s="4">
        <v>140.80000000000001</v>
      </c>
      <c r="F14" s="4">
        <v>338282.98</v>
      </c>
      <c r="G14" s="4">
        <v>215502.57</v>
      </c>
      <c r="H14" s="4">
        <v>8.1</v>
      </c>
      <c r="J14" s="10" t="s">
        <v>31</v>
      </c>
      <c r="K14" s="10">
        <v>151</v>
      </c>
      <c r="L14" s="10">
        <v>115431189545.82729</v>
      </c>
      <c r="M14" s="10">
        <v>764444963.87965095</v>
      </c>
      <c r="N14" s="10"/>
      <c r="O14" s="10"/>
    </row>
    <row r="15" spans="1:15" ht="15" thickBot="1" x14ac:dyDescent="0.4">
      <c r="A15" s="7">
        <v>45698</v>
      </c>
      <c r="B15" s="5">
        <v>306</v>
      </c>
      <c r="C15" s="14">
        <v>285</v>
      </c>
      <c r="D15" s="14">
        <v>338</v>
      </c>
      <c r="E15" s="5">
        <v>122.5</v>
      </c>
      <c r="F15" s="5">
        <v>181018</v>
      </c>
      <c r="G15" s="5">
        <v>61213.919999999998</v>
      </c>
      <c r="H15" s="5">
        <v>10.33</v>
      </c>
      <c r="J15" s="11" t="s">
        <v>32</v>
      </c>
      <c r="K15" s="11">
        <v>153</v>
      </c>
      <c r="L15" s="11">
        <v>189798924234.72372</v>
      </c>
      <c r="M15" s="11"/>
      <c r="N15" s="11"/>
      <c r="O15" s="11"/>
    </row>
    <row r="16" spans="1:15" ht="15" thickBot="1" x14ac:dyDescent="0.4">
      <c r="A16" s="6">
        <v>45699</v>
      </c>
      <c r="B16" s="4">
        <v>397</v>
      </c>
      <c r="C16" s="14">
        <v>344</v>
      </c>
      <c r="D16" s="14">
        <v>378</v>
      </c>
      <c r="E16" s="4">
        <v>124.2</v>
      </c>
      <c r="F16" s="4">
        <v>194285</v>
      </c>
      <c r="G16" s="4">
        <v>72057.919999999998</v>
      </c>
      <c r="H16" s="4">
        <v>11.42</v>
      </c>
    </row>
    <row r="17" spans="1:18" x14ac:dyDescent="0.35">
      <c r="A17" s="7">
        <v>45700</v>
      </c>
      <c r="B17" s="5">
        <v>538</v>
      </c>
      <c r="C17" s="14">
        <v>523</v>
      </c>
      <c r="D17" s="14">
        <v>532</v>
      </c>
      <c r="E17" s="5">
        <v>125.9</v>
      </c>
      <c r="F17" s="5">
        <v>199377.32</v>
      </c>
      <c r="G17" s="5">
        <v>83285.58</v>
      </c>
      <c r="H17" s="5">
        <v>13.06</v>
      </c>
      <c r="J17" s="12"/>
      <c r="K17" s="12" t="s">
        <v>39</v>
      </c>
      <c r="L17" s="12" t="s">
        <v>27</v>
      </c>
      <c r="M17" s="12" t="s">
        <v>40</v>
      </c>
      <c r="N17" s="12" t="s">
        <v>41</v>
      </c>
      <c r="O17" s="12" t="s">
        <v>42</v>
      </c>
      <c r="P17" s="12" t="s">
        <v>43</v>
      </c>
      <c r="Q17" s="12" t="s">
        <v>44</v>
      </c>
      <c r="R17" s="12" t="s">
        <v>45</v>
      </c>
    </row>
    <row r="18" spans="1:18" x14ac:dyDescent="0.35">
      <c r="A18" s="6">
        <v>45701</v>
      </c>
      <c r="B18" s="4">
        <v>593</v>
      </c>
      <c r="C18" s="14">
        <v>591</v>
      </c>
      <c r="D18" s="14">
        <v>591</v>
      </c>
      <c r="E18" s="4">
        <v>127.6</v>
      </c>
      <c r="F18" s="4">
        <v>206223.98</v>
      </c>
      <c r="G18" s="4">
        <v>93565.42</v>
      </c>
      <c r="H18" s="4">
        <v>10.94</v>
      </c>
      <c r="J18" s="10" t="s">
        <v>33</v>
      </c>
      <c r="K18" s="10">
        <v>166960.03689780753</v>
      </c>
      <c r="L18" s="10">
        <v>6452.0134660100239</v>
      </c>
      <c r="M18" s="10">
        <v>25.877199075509203</v>
      </c>
      <c r="N18" s="10">
        <v>2.2382333862103994E-57</v>
      </c>
      <c r="O18" s="10">
        <v>154212.15563520609</v>
      </c>
      <c r="P18" s="10">
        <v>179707.91816040897</v>
      </c>
      <c r="Q18" s="10">
        <v>154212.15563520609</v>
      </c>
      <c r="R18" s="10">
        <v>179707.91816040897</v>
      </c>
    </row>
    <row r="19" spans="1:18" x14ac:dyDescent="0.35">
      <c r="A19" s="7">
        <v>45702</v>
      </c>
      <c r="B19" s="5">
        <v>611</v>
      </c>
      <c r="C19" s="14">
        <v>590</v>
      </c>
      <c r="D19" s="14">
        <v>600</v>
      </c>
      <c r="E19" s="5">
        <v>129.19999999999999</v>
      </c>
      <c r="F19" s="5">
        <v>209277.64</v>
      </c>
      <c r="G19" s="5">
        <v>106162.84</v>
      </c>
      <c r="H19" s="5">
        <v>10.25</v>
      </c>
      <c r="J19" s="10" t="s">
        <v>0</v>
      </c>
      <c r="K19" s="10">
        <v>205.39713690310674</v>
      </c>
      <c r="L19" s="10">
        <v>57.025844197193173</v>
      </c>
      <c r="M19" s="10">
        <v>3.6018254494024036</v>
      </c>
      <c r="N19" s="10">
        <v>4.2818845023820639E-4</v>
      </c>
      <c r="O19" s="10">
        <v>92.725535308483131</v>
      </c>
      <c r="P19" s="10">
        <v>318.06873849773035</v>
      </c>
      <c r="Q19" s="10">
        <v>92.725535308483131</v>
      </c>
      <c r="R19" s="10">
        <v>318.06873849773035</v>
      </c>
    </row>
    <row r="20" spans="1:18" ht="15" thickBot="1" x14ac:dyDescent="0.4">
      <c r="A20" s="6">
        <v>45703</v>
      </c>
      <c r="B20" s="4">
        <v>663</v>
      </c>
      <c r="C20" s="14">
        <v>651</v>
      </c>
      <c r="D20" s="14">
        <v>384.6</v>
      </c>
      <c r="E20" s="4">
        <v>130.9</v>
      </c>
      <c r="F20" s="4">
        <v>215537.639</v>
      </c>
      <c r="G20" s="4">
        <v>113291.5</v>
      </c>
      <c r="H20" s="4">
        <v>10.15</v>
      </c>
      <c r="J20" s="11" t="s">
        <v>20</v>
      </c>
      <c r="K20" s="11">
        <v>-77.77678609006152</v>
      </c>
      <c r="L20" s="11">
        <v>57.716745621518108</v>
      </c>
      <c r="M20" s="11">
        <v>-1.3475601448510044</v>
      </c>
      <c r="N20" s="11">
        <v>0.17981833722213209</v>
      </c>
      <c r="O20" s="11">
        <v>-191.81346997533061</v>
      </c>
      <c r="P20" s="11">
        <v>36.259897795207564</v>
      </c>
      <c r="Q20" s="11">
        <v>-191.81346997533061</v>
      </c>
      <c r="R20" s="11">
        <v>36.259897795207564</v>
      </c>
    </row>
    <row r="21" spans="1:18" x14ac:dyDescent="0.35">
      <c r="A21" s="7">
        <v>45704</v>
      </c>
      <c r="B21" s="5">
        <v>520</v>
      </c>
      <c r="C21" s="14">
        <v>512</v>
      </c>
      <c r="D21" s="14">
        <v>512</v>
      </c>
      <c r="E21" s="5">
        <v>132.4</v>
      </c>
      <c r="F21" s="5">
        <v>228075.65</v>
      </c>
      <c r="G21" s="5">
        <v>147537.57999999999</v>
      </c>
      <c r="H21" s="5">
        <v>9.3699999999999992</v>
      </c>
    </row>
    <row r="22" spans="1:18" x14ac:dyDescent="0.35">
      <c r="A22" s="6">
        <v>45705</v>
      </c>
      <c r="B22" s="4">
        <v>705</v>
      </c>
      <c r="C22" s="14">
        <v>700</v>
      </c>
      <c r="D22" s="14">
        <v>702</v>
      </c>
      <c r="E22" s="4">
        <v>134</v>
      </c>
      <c r="F22" s="4">
        <v>229554.973</v>
      </c>
      <c r="G22" s="4">
        <v>169611.17</v>
      </c>
      <c r="H22" s="4">
        <v>8.9600000000000009</v>
      </c>
    </row>
    <row r="23" spans="1:18" x14ac:dyDescent="0.35">
      <c r="A23" s="7">
        <v>45706</v>
      </c>
      <c r="B23" s="5">
        <v>701</v>
      </c>
      <c r="C23" s="14">
        <v>689</v>
      </c>
      <c r="D23" s="14">
        <v>722</v>
      </c>
      <c r="E23" s="5">
        <v>135.5</v>
      </c>
      <c r="F23" s="5">
        <v>255961.962</v>
      </c>
      <c r="G23" s="5">
        <v>151712.04</v>
      </c>
      <c r="H23" s="5">
        <v>8.4600000000000009</v>
      </c>
    </row>
    <row r="24" spans="1:18" x14ac:dyDescent="0.35">
      <c r="A24" s="6">
        <v>45707</v>
      </c>
      <c r="B24" s="4">
        <v>777</v>
      </c>
      <c r="C24" s="14">
        <v>786</v>
      </c>
      <c r="D24" s="14">
        <v>787</v>
      </c>
      <c r="E24" s="4">
        <v>137</v>
      </c>
      <c r="F24" s="4">
        <v>270061.29200000002</v>
      </c>
      <c r="G24" s="4">
        <v>150550.75</v>
      </c>
      <c r="H24" s="4">
        <v>7.92</v>
      </c>
      <c r="J24" t="s">
        <v>46</v>
      </c>
      <c r="O24" t="s">
        <v>50</v>
      </c>
    </row>
    <row r="25" spans="1:18" ht="15" thickBot="1" x14ac:dyDescent="0.4">
      <c r="A25" s="7">
        <v>45708</v>
      </c>
      <c r="B25" s="5">
        <v>700</v>
      </c>
      <c r="C25" s="14">
        <v>578</v>
      </c>
      <c r="D25" s="14">
        <v>684</v>
      </c>
      <c r="E25" s="5">
        <v>138.4</v>
      </c>
      <c r="F25" s="5">
        <v>230779.65299999999</v>
      </c>
      <c r="G25" s="5">
        <v>156052.67000000001</v>
      </c>
      <c r="H25" s="5">
        <v>7.05</v>
      </c>
    </row>
    <row r="26" spans="1:18" x14ac:dyDescent="0.35">
      <c r="A26" s="6">
        <v>45709</v>
      </c>
      <c r="B26" s="4">
        <v>811</v>
      </c>
      <c r="C26" s="14">
        <v>829</v>
      </c>
      <c r="D26" s="14">
        <v>802</v>
      </c>
      <c r="E26" s="4">
        <v>139.69999999999999</v>
      </c>
      <c r="F26" s="4">
        <v>296221.43300000002</v>
      </c>
      <c r="G26" s="4">
        <v>192776.05</v>
      </c>
      <c r="H26" s="4">
        <v>7.64</v>
      </c>
      <c r="J26" s="12" t="s">
        <v>47</v>
      </c>
      <c r="K26" s="12" t="s">
        <v>56</v>
      </c>
      <c r="L26" s="12" t="s">
        <v>48</v>
      </c>
      <c r="M26" s="12" t="s">
        <v>49</v>
      </c>
      <c r="O26" s="12" t="s">
        <v>51</v>
      </c>
      <c r="P26" s="12">
        <v>182277</v>
      </c>
    </row>
    <row r="27" spans="1:18" x14ac:dyDescent="0.35">
      <c r="A27" s="7">
        <v>45710</v>
      </c>
      <c r="B27" s="5">
        <v>848</v>
      </c>
      <c r="C27" s="14">
        <v>836</v>
      </c>
      <c r="D27" s="14">
        <v>853</v>
      </c>
      <c r="E27" s="5">
        <v>140.80000000000001</v>
      </c>
      <c r="F27" s="5">
        <v>313161.38</v>
      </c>
      <c r="G27" s="5">
        <v>217568.62</v>
      </c>
      <c r="H27" s="5">
        <v>8.14</v>
      </c>
      <c r="J27" s="10">
        <v>1</v>
      </c>
      <c r="K27" s="10">
        <v>218181.79942923927</v>
      </c>
      <c r="L27" s="10">
        <v>-20142.799429239269</v>
      </c>
      <c r="M27" s="10">
        <v>-0.73333760879201859</v>
      </c>
      <c r="O27" s="10">
        <v>0.32467532467532467</v>
      </c>
      <c r="P27" s="10">
        <v>131437.05300000001</v>
      </c>
    </row>
    <row r="28" spans="1:18" x14ac:dyDescent="0.35">
      <c r="A28" s="6">
        <v>45726</v>
      </c>
      <c r="B28" s="4">
        <v>236</v>
      </c>
      <c r="C28" s="14">
        <v>245</v>
      </c>
      <c r="D28" s="14">
        <v>276</v>
      </c>
      <c r="E28" s="4">
        <v>122.6</v>
      </c>
      <c r="F28" s="4">
        <v>179759</v>
      </c>
      <c r="G28" s="4">
        <v>62113.83</v>
      </c>
      <c r="H28" s="4">
        <v>10.42</v>
      </c>
      <c r="J28" s="10">
        <v>2</v>
      </c>
      <c r="K28" s="10">
        <v>238038.54942266256</v>
      </c>
      <c r="L28" s="10">
        <v>-33905.559422662569</v>
      </c>
      <c r="M28" s="10">
        <v>-1.2343975304484331</v>
      </c>
      <c r="O28" s="10">
        <v>0.97402597402597402</v>
      </c>
      <c r="P28" s="10">
        <v>162590.383</v>
      </c>
    </row>
    <row r="29" spans="1:18" x14ac:dyDescent="0.35">
      <c r="A29" s="7">
        <v>45727</v>
      </c>
      <c r="B29" s="5">
        <v>306</v>
      </c>
      <c r="C29" s="14">
        <v>300</v>
      </c>
      <c r="D29" s="14">
        <v>325</v>
      </c>
      <c r="E29" s="5">
        <v>124.3</v>
      </c>
      <c r="F29" s="5">
        <v>190531</v>
      </c>
      <c r="G29" s="5">
        <v>73002.83</v>
      </c>
      <c r="H29" s="5">
        <v>11.58</v>
      </c>
      <c r="J29" s="10">
        <v>3</v>
      </c>
      <c r="K29" s="10">
        <v>243239.2088753079</v>
      </c>
      <c r="L29" s="10">
        <v>-33261.22887530789</v>
      </c>
      <c r="M29" s="10">
        <v>-1.2109394294764881</v>
      </c>
      <c r="O29" s="10">
        <v>1.6233766233766234</v>
      </c>
      <c r="P29" s="10">
        <v>175062</v>
      </c>
    </row>
    <row r="30" spans="1:18" x14ac:dyDescent="0.35">
      <c r="A30" s="6">
        <v>45728</v>
      </c>
      <c r="B30" s="4">
        <v>347</v>
      </c>
      <c r="C30" s="14">
        <v>403</v>
      </c>
      <c r="D30" s="14">
        <v>386</v>
      </c>
      <c r="E30" s="4">
        <v>126</v>
      </c>
      <c r="F30" s="4">
        <v>194621.65</v>
      </c>
      <c r="G30" s="4">
        <v>84119.17</v>
      </c>
      <c r="H30" s="4">
        <v>12.88</v>
      </c>
      <c r="J30" s="10">
        <v>4</v>
      </c>
      <c r="K30" s="10">
        <v>243133.49886785078</v>
      </c>
      <c r="L30" s="10">
        <v>-34006.528867850779</v>
      </c>
      <c r="M30" s="10">
        <v>-1.2380735185728988</v>
      </c>
      <c r="O30" s="10">
        <v>2.2727272727272725</v>
      </c>
      <c r="P30" s="10">
        <v>176208</v>
      </c>
    </row>
    <row r="31" spans="1:18" x14ac:dyDescent="0.35">
      <c r="A31" s="7">
        <v>45729</v>
      </c>
      <c r="B31" s="5">
        <v>400</v>
      </c>
      <c r="C31" s="14">
        <v>404</v>
      </c>
      <c r="D31" s="14">
        <v>403</v>
      </c>
      <c r="E31" s="5">
        <v>127.7</v>
      </c>
      <c r="F31" s="5">
        <v>202469.98</v>
      </c>
      <c r="G31" s="5">
        <v>94675.83</v>
      </c>
      <c r="H31" s="5">
        <v>10.88</v>
      </c>
      <c r="J31" s="10">
        <v>5</v>
      </c>
      <c r="K31" s="10">
        <v>236904.19319005628</v>
      </c>
      <c r="L31" s="10">
        <v>-22724.221190056269</v>
      </c>
      <c r="M31" s="10">
        <v>-0.82731926551314272</v>
      </c>
      <c r="O31" s="10">
        <v>2.9220779220779223</v>
      </c>
      <c r="P31" s="10">
        <v>177354</v>
      </c>
    </row>
    <row r="32" spans="1:18" x14ac:dyDescent="0.35">
      <c r="A32" s="6">
        <v>45730</v>
      </c>
      <c r="B32" s="4">
        <v>437</v>
      </c>
      <c r="C32" s="14">
        <v>412</v>
      </c>
      <c r="D32" s="14">
        <v>422</v>
      </c>
      <c r="E32" s="4">
        <v>129.4</v>
      </c>
      <c r="F32" s="4">
        <v>209428.31</v>
      </c>
      <c r="G32" s="4">
        <v>106545.67</v>
      </c>
      <c r="H32" s="4">
        <v>10.24</v>
      </c>
      <c r="J32" s="10">
        <v>6</v>
      </c>
      <c r="K32" s="10">
        <v>242062.69249662344</v>
      </c>
      <c r="L32" s="10">
        <v>-17219.709496623429</v>
      </c>
      <c r="M32" s="10">
        <v>-0.62691686082205877</v>
      </c>
      <c r="O32" s="10">
        <v>3.5714285714285712</v>
      </c>
      <c r="P32" s="10">
        <v>177418</v>
      </c>
    </row>
    <row r="33" spans="1:16" x14ac:dyDescent="0.35">
      <c r="A33" s="7">
        <v>45731</v>
      </c>
      <c r="B33" s="5">
        <v>400</v>
      </c>
      <c r="C33" s="14">
        <v>380</v>
      </c>
      <c r="D33" s="14">
        <v>374.6</v>
      </c>
      <c r="E33" s="5">
        <v>131</v>
      </c>
      <c r="F33" s="5">
        <v>216895.30600000001</v>
      </c>
      <c r="G33" s="5">
        <v>116209</v>
      </c>
      <c r="H33" s="5">
        <v>10.08</v>
      </c>
      <c r="J33" s="10">
        <v>7</v>
      </c>
      <c r="K33" s="10">
        <v>260607.62234190441</v>
      </c>
      <c r="L33" s="10">
        <v>-33975.649341904413</v>
      </c>
      <c r="M33" s="10">
        <v>-1.2369492896494223</v>
      </c>
      <c r="O33" s="10">
        <v>4.220779220779221</v>
      </c>
      <c r="P33" s="10">
        <v>178500</v>
      </c>
    </row>
    <row r="34" spans="1:16" x14ac:dyDescent="0.35">
      <c r="A34" s="6">
        <v>45732</v>
      </c>
      <c r="B34" s="4">
        <v>381</v>
      </c>
      <c r="C34" s="14">
        <v>322</v>
      </c>
      <c r="D34" s="14">
        <v>372</v>
      </c>
      <c r="E34" s="4">
        <v>132.5</v>
      </c>
      <c r="F34" s="4">
        <v>231308.31700000001</v>
      </c>
      <c r="G34" s="4">
        <v>149691.17000000001</v>
      </c>
      <c r="H34" s="4">
        <v>9.33</v>
      </c>
      <c r="J34" s="10">
        <v>8</v>
      </c>
      <c r="K34" s="10">
        <v>264946.71426954796</v>
      </c>
      <c r="L34" s="10">
        <v>-6680.7522695479565</v>
      </c>
      <c r="M34" s="10">
        <v>-0.24322572001438922</v>
      </c>
      <c r="O34" s="10">
        <v>4.8701298701298699</v>
      </c>
      <c r="P34" s="10">
        <v>179759</v>
      </c>
    </row>
    <row r="35" spans="1:16" x14ac:dyDescent="0.35">
      <c r="A35" s="7">
        <v>45733</v>
      </c>
      <c r="B35" s="5">
        <v>380</v>
      </c>
      <c r="C35" s="14">
        <v>350</v>
      </c>
      <c r="D35" s="14">
        <v>354</v>
      </c>
      <c r="E35" s="5">
        <v>134.1</v>
      </c>
      <c r="F35" s="5">
        <v>232477.973</v>
      </c>
      <c r="G35" s="5">
        <v>167995.34</v>
      </c>
      <c r="H35" s="5">
        <v>8.92</v>
      </c>
      <c r="J35" s="10">
        <v>9</v>
      </c>
      <c r="K35" s="10">
        <v>269463.27011272754</v>
      </c>
      <c r="L35" s="10">
        <v>5764.6918872724636</v>
      </c>
      <c r="M35" s="10">
        <v>0.20987476834518604</v>
      </c>
      <c r="O35" s="10">
        <v>5.5194805194805197</v>
      </c>
      <c r="P35" s="10">
        <v>179774</v>
      </c>
    </row>
    <row r="36" spans="1:16" x14ac:dyDescent="0.35">
      <c r="A36" s="6">
        <v>45734</v>
      </c>
      <c r="B36" s="4">
        <v>429</v>
      </c>
      <c r="C36" s="14">
        <v>421</v>
      </c>
      <c r="D36" s="14">
        <v>449</v>
      </c>
      <c r="E36" s="4">
        <v>135.69999999999999</v>
      </c>
      <c r="F36" s="4">
        <v>253657.962</v>
      </c>
      <c r="G36" s="4">
        <v>151587.04</v>
      </c>
      <c r="H36" s="4">
        <v>8.42</v>
      </c>
      <c r="J36" s="10">
        <v>10</v>
      </c>
      <c r="K36" s="10">
        <v>265625.83625711297</v>
      </c>
      <c r="L36" s="10">
        <v>14825.11674288701</v>
      </c>
      <c r="M36" s="10">
        <v>0.53973707579641395</v>
      </c>
      <c r="O36" s="10">
        <v>6.1688311688311694</v>
      </c>
      <c r="P36" s="10">
        <v>181018</v>
      </c>
    </row>
    <row r="37" spans="1:16" x14ac:dyDescent="0.35">
      <c r="A37" s="7">
        <v>45735</v>
      </c>
      <c r="B37" s="5">
        <v>445</v>
      </c>
      <c r="C37" s="14">
        <v>434</v>
      </c>
      <c r="D37" s="14">
        <v>343</v>
      </c>
      <c r="E37" s="5">
        <v>137.1</v>
      </c>
      <c r="F37" s="5">
        <v>264894.62199999997</v>
      </c>
      <c r="G37" s="5">
        <v>150764.5</v>
      </c>
      <c r="H37" s="5">
        <v>7.83</v>
      </c>
      <c r="J37" s="10">
        <v>11</v>
      </c>
      <c r="K37" s="10">
        <v>272669.66634839837</v>
      </c>
      <c r="L37" s="10">
        <v>59079.366651601624</v>
      </c>
      <c r="M37" s="10">
        <v>2.1508987179975469</v>
      </c>
      <c r="O37" s="10">
        <v>6.8181818181818183</v>
      </c>
      <c r="P37" s="10">
        <v>181108.353</v>
      </c>
    </row>
    <row r="38" spans="1:16" x14ac:dyDescent="0.35">
      <c r="A38" s="6">
        <v>45736</v>
      </c>
      <c r="B38" s="4">
        <v>419</v>
      </c>
      <c r="C38" s="14">
        <v>500</v>
      </c>
      <c r="D38" s="14">
        <v>486</v>
      </c>
      <c r="E38" s="4">
        <v>138.5</v>
      </c>
      <c r="F38" s="4">
        <v>181108.353</v>
      </c>
      <c r="G38" s="4">
        <v>159203.32999999999</v>
      </c>
      <c r="H38" s="4">
        <v>7.1</v>
      </c>
      <c r="J38" s="10">
        <v>12</v>
      </c>
      <c r="K38" s="10">
        <v>272402.37989074993</v>
      </c>
      <c r="L38" s="10">
        <v>65880.600109250052</v>
      </c>
      <c r="M38" s="10">
        <v>2.3985107889109956</v>
      </c>
      <c r="O38" s="10">
        <v>7.4675324675324672</v>
      </c>
      <c r="P38" s="10">
        <v>182130</v>
      </c>
    </row>
    <row r="39" spans="1:16" x14ac:dyDescent="0.35">
      <c r="A39" s="7">
        <v>45737</v>
      </c>
      <c r="B39" s="5">
        <v>467</v>
      </c>
      <c r="C39" s="14">
        <v>511</v>
      </c>
      <c r="D39" s="14">
        <v>524</v>
      </c>
      <c r="E39" s="5">
        <v>139.80000000000001</v>
      </c>
      <c r="F39" s="5">
        <v>260693.83300000001</v>
      </c>
      <c r="G39" s="5">
        <v>194842.1</v>
      </c>
      <c r="H39" s="5">
        <v>7.68</v>
      </c>
      <c r="J39" s="10">
        <v>13</v>
      </c>
      <c r="K39" s="10">
        <v>207645.17675449068</v>
      </c>
      <c r="L39" s="10">
        <v>-26627.176754490676</v>
      </c>
      <c r="M39" s="10">
        <v>-0.96941391878606809</v>
      </c>
      <c r="O39" s="10">
        <v>8.1168831168831161</v>
      </c>
      <c r="P39" s="10">
        <v>186136.98</v>
      </c>
    </row>
    <row r="40" spans="1:16" x14ac:dyDescent="0.35">
      <c r="A40" s="6">
        <v>45738</v>
      </c>
      <c r="B40" s="4">
        <v>531</v>
      </c>
      <c r="C40" s="14">
        <v>514</v>
      </c>
      <c r="D40" s="14">
        <v>625</v>
      </c>
      <c r="E40" s="4">
        <v>140.9</v>
      </c>
      <c r="F40" s="4">
        <v>288039.67999999999</v>
      </c>
      <c r="G40" s="4">
        <v>219634.66</v>
      </c>
      <c r="H40" s="4">
        <v>8.18</v>
      </c>
      <c r="J40" s="10">
        <v>14</v>
      </c>
      <c r="K40" s="10">
        <v>221747.48583335974</v>
      </c>
      <c r="L40" s="10">
        <v>-27462.485833359737</v>
      </c>
      <c r="M40" s="10">
        <v>-0.99982496292380119</v>
      </c>
      <c r="O40" s="10">
        <v>8.7662337662337659</v>
      </c>
      <c r="P40" s="10">
        <v>186777</v>
      </c>
    </row>
    <row r="41" spans="1:16" x14ac:dyDescent="0.35">
      <c r="A41" s="7">
        <v>45757</v>
      </c>
      <c r="B41" s="5">
        <v>234</v>
      </c>
      <c r="C41" s="14">
        <v>212</v>
      </c>
      <c r="D41" s="14">
        <v>245</v>
      </c>
      <c r="E41" s="5">
        <v>122.8</v>
      </c>
      <c r="F41" s="5">
        <v>178500</v>
      </c>
      <c r="G41" s="5">
        <v>63013.75</v>
      </c>
      <c r="H41" s="5">
        <v>10.5</v>
      </c>
      <c r="J41" s="10">
        <v>15</v>
      </c>
      <c r="K41" s="10">
        <v>236786.43742657677</v>
      </c>
      <c r="L41" s="10">
        <v>-37409.117426576762</v>
      </c>
      <c r="M41" s="10">
        <v>-1.3619513423145728</v>
      </c>
      <c r="O41" s="10">
        <v>9.4155844155844139</v>
      </c>
      <c r="P41" s="10">
        <v>187379.98</v>
      </c>
    </row>
    <row r="42" spans="1:16" x14ac:dyDescent="0.35">
      <c r="A42" s="6">
        <v>45758</v>
      </c>
      <c r="B42" s="4">
        <v>313</v>
      </c>
      <c r="C42" s="14">
        <v>323</v>
      </c>
      <c r="D42" s="14">
        <v>336</v>
      </c>
      <c r="E42" s="4">
        <v>124.5</v>
      </c>
      <c r="F42" s="4">
        <v>186777</v>
      </c>
      <c r="G42" s="4">
        <v>73947.75</v>
      </c>
      <c r="H42" s="4">
        <v>11.75</v>
      </c>
      <c r="J42" s="10">
        <v>16</v>
      </c>
      <c r="K42" s="10">
        <v>242794.45850212348</v>
      </c>
      <c r="L42" s="10">
        <v>-36570.478502123471</v>
      </c>
      <c r="M42" s="10">
        <v>-1.3314190687019118</v>
      </c>
      <c r="O42" s="10">
        <v>10.064935064935064</v>
      </c>
      <c r="P42" s="10">
        <v>187433</v>
      </c>
    </row>
    <row r="43" spans="1:16" x14ac:dyDescent="0.35">
      <c r="A43" s="7">
        <v>45759</v>
      </c>
      <c r="B43" s="5">
        <v>366</v>
      </c>
      <c r="C43" s="14">
        <v>334</v>
      </c>
      <c r="D43" s="14">
        <v>353</v>
      </c>
      <c r="E43" s="5">
        <v>126.2</v>
      </c>
      <c r="F43" s="5">
        <v>189865.98</v>
      </c>
      <c r="G43" s="5">
        <v>84952.75</v>
      </c>
      <c r="H43" s="5">
        <v>12.69</v>
      </c>
      <c r="J43" s="10">
        <v>17</v>
      </c>
      <c r="K43" s="10">
        <v>246569.38375246947</v>
      </c>
      <c r="L43" s="10">
        <v>-37291.743752469454</v>
      </c>
      <c r="M43" s="10">
        <v>-1.3576781264784443</v>
      </c>
      <c r="O43" s="10">
        <v>10.714285714285714</v>
      </c>
      <c r="P43" s="10">
        <v>188085</v>
      </c>
    </row>
    <row r="44" spans="1:16" x14ac:dyDescent="0.35">
      <c r="A44" s="6">
        <v>45760</v>
      </c>
      <c r="B44" s="4">
        <v>425</v>
      </c>
      <c r="C44" s="14">
        <v>414</v>
      </c>
      <c r="D44" s="14">
        <v>419</v>
      </c>
      <c r="E44" s="4">
        <v>127.9</v>
      </c>
      <c r="F44" s="4">
        <v>198715.98</v>
      </c>
      <c r="G44" s="4">
        <v>95786.25</v>
      </c>
      <c r="H44" s="4">
        <v>10.81</v>
      </c>
      <c r="J44" s="10">
        <v>18</v>
      </c>
      <c r="K44" s="10">
        <v>252505.6509199373</v>
      </c>
      <c r="L44" s="10">
        <v>-36968.0119199373</v>
      </c>
      <c r="M44" s="10">
        <v>-1.3458920423845735</v>
      </c>
      <c r="O44" s="10">
        <v>11.363636363636363</v>
      </c>
      <c r="P44" s="10">
        <v>188622.98</v>
      </c>
    </row>
    <row r="45" spans="1:16" x14ac:dyDescent="0.35">
      <c r="A45" s="7">
        <v>45761</v>
      </c>
      <c r="B45" s="5">
        <v>413</v>
      </c>
      <c r="C45" s="14">
        <v>403</v>
      </c>
      <c r="D45" s="14">
        <v>408</v>
      </c>
      <c r="E45" s="5">
        <v>129.5</v>
      </c>
      <c r="F45" s="5">
        <v>209578.98</v>
      </c>
      <c r="G45" s="5">
        <v>106545.67</v>
      </c>
      <c r="H45" s="5">
        <v>10.24</v>
      </c>
      <c r="J45" s="10">
        <v>19</v>
      </c>
      <c r="K45" s="10">
        <v>233944.83360931152</v>
      </c>
      <c r="L45" s="10">
        <v>-5869.1836093115271</v>
      </c>
      <c r="M45" s="10">
        <v>-0.21367899177737959</v>
      </c>
      <c r="O45" s="10">
        <v>12.012987012987013</v>
      </c>
      <c r="P45" s="10">
        <v>188780.98</v>
      </c>
    </row>
    <row r="46" spans="1:16" x14ac:dyDescent="0.35">
      <c r="A46" s="6">
        <v>45762</v>
      </c>
      <c r="B46" s="4">
        <v>392</v>
      </c>
      <c r="C46" s="14">
        <v>380</v>
      </c>
      <c r="D46" s="14">
        <v>364.7</v>
      </c>
      <c r="E46" s="4">
        <v>131.1</v>
      </c>
      <c r="F46" s="4">
        <v>218252.973</v>
      </c>
      <c r="G46" s="4">
        <v>119126.5</v>
      </c>
      <c r="H46" s="4">
        <v>10.01</v>
      </c>
      <c r="J46" s="10">
        <v>20</v>
      </c>
      <c r="K46" s="10">
        <v>257321.26815145471</v>
      </c>
      <c r="L46" s="10">
        <v>-27766.295151454717</v>
      </c>
      <c r="M46" s="10">
        <v>-1.010885729310478</v>
      </c>
      <c r="O46" s="10">
        <v>12.662337662337661</v>
      </c>
      <c r="P46" s="10">
        <v>189393</v>
      </c>
    </row>
    <row r="47" spans="1:16" x14ac:dyDescent="0.35">
      <c r="A47" s="7">
        <v>45763</v>
      </c>
      <c r="B47" s="5">
        <v>399</v>
      </c>
      <c r="C47" s="14">
        <v>356</v>
      </c>
      <c r="D47" s="14">
        <v>369</v>
      </c>
      <c r="E47" s="5">
        <v>132.69999999999999</v>
      </c>
      <c r="F47" s="5">
        <v>234540.984</v>
      </c>
      <c r="G47" s="5">
        <v>151844.75</v>
      </c>
      <c r="H47" s="5">
        <v>9.3000000000000007</v>
      </c>
      <c r="J47" s="10">
        <v>21</v>
      </c>
      <c r="K47" s="10">
        <v>257355.22425083298</v>
      </c>
      <c r="L47" s="10">
        <v>-1393.2622508329805</v>
      </c>
      <c r="M47" s="10">
        <v>-5.0724409535791673E-2</v>
      </c>
      <c r="O47" s="10">
        <v>13.311688311688311</v>
      </c>
      <c r="P47" s="10">
        <v>189865.98</v>
      </c>
    </row>
    <row r="48" spans="1:16" x14ac:dyDescent="0.35">
      <c r="A48" s="6">
        <v>45764</v>
      </c>
      <c r="B48" s="4">
        <v>370</v>
      </c>
      <c r="C48" s="14">
        <v>348</v>
      </c>
      <c r="D48" s="14">
        <v>345</v>
      </c>
      <c r="E48" s="4">
        <v>134.19999999999999</v>
      </c>
      <c r="F48" s="4">
        <v>235400.973</v>
      </c>
      <c r="G48" s="4">
        <v>166379.51</v>
      </c>
      <c r="H48" s="4">
        <v>8.8699999999999992</v>
      </c>
      <c r="J48" s="10">
        <v>22</v>
      </c>
      <c r="K48" s="10">
        <v>265421.05840473314</v>
      </c>
      <c r="L48" s="10">
        <v>4640.23359526688</v>
      </c>
      <c r="M48" s="10">
        <v>0.16893668732310466</v>
      </c>
      <c r="O48" s="10">
        <v>13.961038961038961</v>
      </c>
      <c r="P48" s="10">
        <v>190531</v>
      </c>
    </row>
    <row r="49" spans="1:16" x14ac:dyDescent="0.35">
      <c r="A49" s="7">
        <v>45765</v>
      </c>
      <c r="B49" s="5">
        <v>422</v>
      </c>
      <c r="C49" s="14">
        <v>414</v>
      </c>
      <c r="D49" s="14">
        <v>448</v>
      </c>
      <c r="E49" s="5">
        <v>135.80000000000001</v>
      </c>
      <c r="F49" s="5">
        <v>251353.962</v>
      </c>
      <c r="G49" s="5">
        <v>151587.04</v>
      </c>
      <c r="H49" s="5">
        <v>8.3699999999999992</v>
      </c>
      <c r="J49" s="10">
        <v>23</v>
      </c>
      <c r="K49" s="10">
        <v>265783.05036992673</v>
      </c>
      <c r="L49" s="10">
        <v>-35003.397369926737</v>
      </c>
      <c r="M49" s="10">
        <v>-1.2743664462843909</v>
      </c>
      <c r="O49" s="10">
        <v>14.610389610389609</v>
      </c>
      <c r="P49" s="10">
        <v>190701</v>
      </c>
    </row>
    <row r="50" spans="1:16" x14ac:dyDescent="0.35">
      <c r="A50" s="6">
        <v>45766</v>
      </c>
      <c r="B50" s="4">
        <v>464</v>
      </c>
      <c r="C50" s="14">
        <v>311</v>
      </c>
      <c r="D50" s="14">
        <v>453</v>
      </c>
      <c r="E50" s="4">
        <v>137.30000000000001</v>
      </c>
      <c r="F50" s="4">
        <v>259727.95199999999</v>
      </c>
      <c r="G50" s="4">
        <v>150978.25</v>
      </c>
      <c r="H50" s="4">
        <v>7.75</v>
      </c>
      <c r="J50" s="10">
        <v>24</v>
      </c>
      <c r="K50" s="10">
        <v>269060.15925756615</v>
      </c>
      <c r="L50" s="10">
        <v>27161.27374243387</v>
      </c>
      <c r="M50" s="10">
        <v>0.98885875362033282</v>
      </c>
      <c r="O50" s="10">
        <v>15.259740259740258</v>
      </c>
      <c r="P50" s="10">
        <v>191424.98</v>
      </c>
    </row>
    <row r="51" spans="1:16" x14ac:dyDescent="0.35">
      <c r="A51" s="7">
        <v>45767</v>
      </c>
      <c r="B51" s="5">
        <v>399</v>
      </c>
      <c r="C51" s="14">
        <v>414</v>
      </c>
      <c r="D51" s="14">
        <v>408</v>
      </c>
      <c r="E51" s="5">
        <v>138.6</v>
      </c>
      <c r="F51" s="5">
        <v>131437.05300000001</v>
      </c>
      <c r="G51" s="5">
        <v>162354</v>
      </c>
      <c r="H51" s="5">
        <v>7.15</v>
      </c>
      <c r="J51" s="10">
        <v>25</v>
      </c>
      <c r="K51" s="10">
        <v>276115.41582035064</v>
      </c>
      <c r="L51" s="10">
        <v>37045.964179649367</v>
      </c>
      <c r="M51" s="10">
        <v>1.3487300453115252</v>
      </c>
      <c r="O51" s="10">
        <v>15.909090909090908</v>
      </c>
      <c r="P51" s="10">
        <v>192375.33</v>
      </c>
    </row>
    <row r="52" spans="1:16" x14ac:dyDescent="0.35">
      <c r="A52" s="6">
        <v>45768</v>
      </c>
      <c r="B52" s="4">
        <v>440</v>
      </c>
      <c r="C52" s="14">
        <v>423</v>
      </c>
      <c r="D52" s="14">
        <v>435</v>
      </c>
      <c r="E52" s="4">
        <v>139.9</v>
      </c>
      <c r="F52" s="4">
        <v>225166</v>
      </c>
      <c r="G52" s="4">
        <v>196908.15</v>
      </c>
      <c r="H52" s="4">
        <v>7.73</v>
      </c>
      <c r="J52" s="10">
        <v>26</v>
      </c>
      <c r="K52" s="10">
        <v>196378.44861487564</v>
      </c>
      <c r="L52" s="10">
        <v>-16619.44861487564</v>
      </c>
      <c r="M52" s="10">
        <v>-0.60506320134345981</v>
      </c>
      <c r="O52" s="10">
        <v>16.558441558441558</v>
      </c>
      <c r="P52" s="10">
        <v>192736</v>
      </c>
    </row>
    <row r="53" spans="1:16" x14ac:dyDescent="0.35">
      <c r="A53" s="7">
        <v>45769</v>
      </c>
      <c r="B53" s="5">
        <v>487</v>
      </c>
      <c r="C53" s="14">
        <v>477</v>
      </c>
      <c r="D53" s="14">
        <v>495</v>
      </c>
      <c r="E53" s="5">
        <v>141</v>
      </c>
      <c r="F53" s="5">
        <v>262917.98</v>
      </c>
      <c r="G53" s="5">
        <v>221700.71</v>
      </c>
      <c r="H53" s="5">
        <v>8.23</v>
      </c>
      <c r="J53" s="10">
        <v>27</v>
      </c>
      <c r="K53" s="10">
        <v>206478.52496313973</v>
      </c>
      <c r="L53" s="10">
        <v>-15947.524963139731</v>
      </c>
      <c r="M53" s="10">
        <v>-0.58060051998748397</v>
      </c>
      <c r="O53" s="10">
        <v>17.20779220779221</v>
      </c>
      <c r="P53" s="10">
        <v>193743.71299999999</v>
      </c>
    </row>
    <row r="54" spans="1:16" x14ac:dyDescent="0.35">
      <c r="A54" s="6">
        <v>45787</v>
      </c>
      <c r="B54" s="4">
        <v>296</v>
      </c>
      <c r="C54" s="14">
        <v>289</v>
      </c>
      <c r="D54" s="14">
        <v>312</v>
      </c>
      <c r="E54" s="4">
        <v>122.9</v>
      </c>
      <c r="F54" s="4">
        <v>177354</v>
      </c>
      <c r="G54" s="4">
        <v>63913.67</v>
      </c>
      <c r="H54" s="4">
        <v>10.58</v>
      </c>
      <c r="J54" s="10">
        <v>28</v>
      </c>
      <c r="K54" s="10">
        <v>206888.79860889079</v>
      </c>
      <c r="L54" s="10">
        <v>-12267.148608890799</v>
      </c>
      <c r="M54" s="10">
        <v>-0.44660929376488684</v>
      </c>
      <c r="O54" s="10">
        <v>17.857142857142858</v>
      </c>
      <c r="P54" s="10">
        <v>194049.66</v>
      </c>
    </row>
    <row r="55" spans="1:16" x14ac:dyDescent="0.35">
      <c r="A55" s="7">
        <v>45788</v>
      </c>
      <c r="B55" s="5">
        <v>315</v>
      </c>
      <c r="C55" s="14">
        <v>292</v>
      </c>
      <c r="D55" s="14">
        <v>284</v>
      </c>
      <c r="E55" s="5">
        <v>124.6</v>
      </c>
      <c r="F55" s="5">
        <v>188085</v>
      </c>
      <c r="G55" s="5">
        <v>74892.67</v>
      </c>
      <c r="H55" s="5">
        <v>11.92</v>
      </c>
      <c r="J55" s="10">
        <v>29</v>
      </c>
      <c r="K55" s="10">
        <v>217697.07007866536</v>
      </c>
      <c r="L55" s="10">
        <v>-15227.090078665351</v>
      </c>
      <c r="M55" s="10">
        <v>-0.5543716932880588</v>
      </c>
      <c r="O55" s="10">
        <v>18.506493506493506</v>
      </c>
      <c r="P55" s="10">
        <v>194068.98</v>
      </c>
    </row>
    <row r="56" spans="1:16" x14ac:dyDescent="0.35">
      <c r="A56" s="6">
        <v>45789</v>
      </c>
      <c r="B56" s="4">
        <v>386</v>
      </c>
      <c r="C56" s="14">
        <v>350</v>
      </c>
      <c r="D56" s="14">
        <v>349</v>
      </c>
      <c r="E56" s="4">
        <v>126.3</v>
      </c>
      <c r="F56" s="4">
        <v>188622.98</v>
      </c>
      <c r="G56" s="4">
        <v>85786.33</v>
      </c>
      <c r="H56" s="4">
        <v>12.5</v>
      </c>
      <c r="J56" s="10">
        <v>30</v>
      </c>
      <c r="K56" s="10">
        <v>224674.54985535983</v>
      </c>
      <c r="L56" s="10">
        <v>-15246.239855359832</v>
      </c>
      <c r="M56" s="10">
        <v>-0.55506887798174376</v>
      </c>
      <c r="O56" s="10">
        <v>19.155844155844157</v>
      </c>
      <c r="P56" s="10">
        <v>194285</v>
      </c>
    </row>
    <row r="57" spans="1:16" x14ac:dyDescent="0.35">
      <c r="A57" s="7">
        <v>45790</v>
      </c>
      <c r="B57" s="5">
        <v>401</v>
      </c>
      <c r="C57" s="14">
        <v>375</v>
      </c>
      <c r="D57" s="14">
        <v>392</v>
      </c>
      <c r="E57" s="5">
        <v>128</v>
      </c>
      <c r="F57" s="5">
        <v>197296.65</v>
      </c>
      <c r="G57" s="5">
        <v>96896.67</v>
      </c>
      <c r="H57" s="5">
        <v>10.75</v>
      </c>
      <c r="J57" s="10">
        <v>31</v>
      </c>
      <c r="K57" s="10">
        <v>219563.71294482684</v>
      </c>
      <c r="L57" s="10">
        <v>-2668.4069448268274</v>
      </c>
      <c r="M57" s="10">
        <v>-9.7148520744478536E-2</v>
      </c>
      <c r="O57" s="10">
        <v>19.805194805194805</v>
      </c>
      <c r="P57" s="10">
        <v>194457.99</v>
      </c>
    </row>
    <row r="58" spans="1:16" x14ac:dyDescent="0.35">
      <c r="A58" s="6">
        <v>45791</v>
      </c>
      <c r="B58" s="4">
        <v>411</v>
      </c>
      <c r="C58" s="14">
        <v>397</v>
      </c>
      <c r="D58" s="14">
        <v>398</v>
      </c>
      <c r="E58" s="4">
        <v>129.69999999999999</v>
      </c>
      <c r="F58" s="4">
        <v>208023.31</v>
      </c>
      <c r="G58" s="4">
        <v>106928.5</v>
      </c>
      <c r="H58" s="4">
        <v>10.24</v>
      </c>
      <c r="J58" s="10">
        <v>32</v>
      </c>
      <c r="K58" s="10">
        <v>220172.22093689139</v>
      </c>
      <c r="L58" s="10">
        <v>11136.09606310862</v>
      </c>
      <c r="M58" s="10">
        <v>0.40543113616788423</v>
      </c>
      <c r="O58" s="10">
        <v>20.454545454545457</v>
      </c>
      <c r="P58" s="10">
        <v>194621.65</v>
      </c>
    </row>
    <row r="59" spans="1:16" x14ac:dyDescent="0.35">
      <c r="A59" s="7">
        <v>45792</v>
      </c>
      <c r="B59" s="5">
        <v>382</v>
      </c>
      <c r="C59" s="14">
        <v>375</v>
      </c>
      <c r="D59" s="14">
        <v>354.8</v>
      </c>
      <c r="E59" s="5">
        <v>131.19999999999999</v>
      </c>
      <c r="F59" s="5">
        <v>214098.64300000001</v>
      </c>
      <c r="G59" s="5">
        <v>122044</v>
      </c>
      <c r="H59" s="5">
        <v>9.94</v>
      </c>
      <c r="J59" s="10">
        <v>33</v>
      </c>
      <c r="K59" s="10">
        <v>217789.07378946655</v>
      </c>
      <c r="L59" s="10">
        <v>14688.899210533447</v>
      </c>
      <c r="M59" s="10">
        <v>0.53477781281995274</v>
      </c>
      <c r="O59" s="10">
        <v>21.103896103896105</v>
      </c>
      <c r="P59" s="10">
        <v>195723.99</v>
      </c>
    </row>
    <row r="60" spans="1:16" x14ac:dyDescent="0.35">
      <c r="A60" s="6">
        <v>45793</v>
      </c>
      <c r="B60" s="4">
        <v>403</v>
      </c>
      <c r="C60" s="14">
        <v>391</v>
      </c>
      <c r="D60" s="14">
        <v>403</v>
      </c>
      <c r="E60" s="4">
        <v>132.80000000000001</v>
      </c>
      <c r="F60" s="4">
        <v>230641.984</v>
      </c>
      <c r="G60" s="4">
        <v>153998.32999999999</v>
      </c>
      <c r="H60" s="4">
        <v>9.27</v>
      </c>
      <c r="J60" s="10">
        <v>34</v>
      </c>
      <c r="K60" s="10">
        <v>222331.38168532442</v>
      </c>
      <c r="L60" s="10">
        <v>31326.580314675579</v>
      </c>
      <c r="M60" s="10">
        <v>1.1405048032324536</v>
      </c>
      <c r="O60" s="10">
        <v>21.753246753246753</v>
      </c>
      <c r="P60" s="10">
        <v>195795.32</v>
      </c>
    </row>
    <row r="61" spans="1:16" x14ac:dyDescent="0.35">
      <c r="A61" s="7">
        <v>45794</v>
      </c>
      <c r="B61" s="5">
        <v>361</v>
      </c>
      <c r="C61" s="14">
        <v>334</v>
      </c>
      <c r="D61" s="14">
        <v>322</v>
      </c>
      <c r="E61" s="5">
        <v>134.4</v>
      </c>
      <c r="F61" s="5">
        <v>232482.973</v>
      </c>
      <c r="G61" s="5">
        <v>164763.68</v>
      </c>
      <c r="H61" s="5">
        <v>8.83</v>
      </c>
      <c r="J61" s="10">
        <v>35</v>
      </c>
      <c r="K61" s="10">
        <v>224606.63765660336</v>
      </c>
      <c r="L61" s="10">
        <v>40287.984343396616</v>
      </c>
      <c r="M61" s="10">
        <v>1.4667620657806733</v>
      </c>
      <c r="O61" s="10">
        <v>22.402597402597404</v>
      </c>
      <c r="P61" s="10">
        <v>195877.32</v>
      </c>
    </row>
    <row r="62" spans="1:16" x14ac:dyDescent="0.35">
      <c r="A62" s="6">
        <v>45795</v>
      </c>
      <c r="B62" s="4">
        <v>443</v>
      </c>
      <c r="C62" s="14">
        <v>423</v>
      </c>
      <c r="D62" s="14">
        <v>460</v>
      </c>
      <c r="E62" s="4">
        <v>135.9</v>
      </c>
      <c r="F62" s="4">
        <v>247308.962</v>
      </c>
      <c r="G62" s="4">
        <v>151462.04</v>
      </c>
      <c r="H62" s="4">
        <v>8.33</v>
      </c>
      <c r="J62" s="10">
        <v>36</v>
      </c>
      <c r="K62" s="10">
        <v>214133.04421517847</v>
      </c>
      <c r="L62" s="10">
        <v>-33024.691215178464</v>
      </c>
      <c r="M62" s="10">
        <v>-1.2023278180330075</v>
      </c>
      <c r="O62" s="10">
        <v>23.051948051948052</v>
      </c>
      <c r="P62" s="10">
        <v>197132.65</v>
      </c>
    </row>
    <row r="63" spans="1:16" x14ac:dyDescent="0.35">
      <c r="A63" s="7">
        <v>45796</v>
      </c>
      <c r="B63" s="5">
        <v>369</v>
      </c>
      <c r="C63" s="14">
        <v>195</v>
      </c>
      <c r="D63" s="14">
        <v>354</v>
      </c>
      <c r="E63" s="5">
        <v>137.4</v>
      </c>
      <c r="F63" s="5">
        <v>253415.95199999999</v>
      </c>
      <c r="G63" s="5">
        <v>151192</v>
      </c>
      <c r="H63" s="5">
        <v>7.67</v>
      </c>
      <c r="J63" s="10">
        <v>37</v>
      </c>
      <c r="K63" s="10">
        <v>223136.56213953695</v>
      </c>
      <c r="L63" s="10">
        <v>37557.270860463061</v>
      </c>
      <c r="M63" s="10">
        <v>1.3673451548937119</v>
      </c>
      <c r="O63" s="10">
        <v>23.701298701298704</v>
      </c>
      <c r="P63" s="10">
        <v>197296.65</v>
      </c>
    </row>
    <row r="64" spans="1:16" x14ac:dyDescent="0.35">
      <c r="A64" s="6">
        <v>45797</v>
      </c>
      <c r="B64" s="4">
        <v>425</v>
      </c>
      <c r="C64" s="14">
        <v>405</v>
      </c>
      <c r="D64" s="14">
        <v>405</v>
      </c>
      <c r="E64" s="4">
        <v>138.80000000000001</v>
      </c>
      <c r="F64" s="4">
        <v>162590.383</v>
      </c>
      <c r="G64" s="4">
        <v>165504.67000000001</v>
      </c>
      <c r="H64" s="4">
        <v>7.2</v>
      </c>
      <c r="J64" s="10">
        <v>38</v>
      </c>
      <c r="K64" s="10">
        <v>236048.64854306559</v>
      </c>
      <c r="L64" s="10">
        <v>51991.031456934405</v>
      </c>
      <c r="M64" s="10">
        <v>1.892834152531639</v>
      </c>
      <c r="O64" s="10">
        <v>24.350649350649352</v>
      </c>
      <c r="P64" s="10">
        <v>198039</v>
      </c>
    </row>
    <row r="65" spans="1:16" x14ac:dyDescent="0.35">
      <c r="A65" s="7">
        <v>45798</v>
      </c>
      <c r="B65" s="5">
        <v>489</v>
      </c>
      <c r="C65" s="14">
        <v>439</v>
      </c>
      <c r="D65" s="14">
        <v>428</v>
      </c>
      <c r="E65" s="5">
        <v>140</v>
      </c>
      <c r="F65" s="5">
        <v>231134.33</v>
      </c>
      <c r="G65" s="5">
        <v>198974.19</v>
      </c>
      <c r="H65" s="5">
        <v>7.77</v>
      </c>
      <c r="J65" s="10">
        <v>39</v>
      </c>
      <c r="K65" s="10">
        <v>198534.28828204147</v>
      </c>
      <c r="L65" s="10">
        <v>-20034.288282041467</v>
      </c>
      <c r="M65" s="10">
        <v>-0.72938705040549145</v>
      </c>
      <c r="O65" s="10">
        <v>25</v>
      </c>
      <c r="P65" s="10">
        <v>198469.98</v>
      </c>
    </row>
    <row r="66" spans="1:16" x14ac:dyDescent="0.35">
      <c r="A66" s="6">
        <v>45799</v>
      </c>
      <c r="B66" s="4">
        <v>531</v>
      </c>
      <c r="C66" s="14">
        <v>514</v>
      </c>
      <c r="D66" s="14">
        <v>596</v>
      </c>
      <c r="E66" s="4">
        <v>141.1</v>
      </c>
      <c r="F66" s="4">
        <v>261644.65</v>
      </c>
      <c r="G66" s="4">
        <v>223766.76</v>
      </c>
      <c r="H66" s="4">
        <v>8.27</v>
      </c>
      <c r="J66" s="10">
        <v>40</v>
      </c>
      <c r="K66" s="10">
        <v>206127.43884139007</v>
      </c>
      <c r="L66" s="10">
        <v>-19350.438841390074</v>
      </c>
      <c r="M66" s="10">
        <v>-0.70449018761624649</v>
      </c>
      <c r="O66" s="10">
        <v>25.649350649350652</v>
      </c>
      <c r="P66" s="10">
        <v>198526.99</v>
      </c>
    </row>
    <row r="67" spans="1:16" x14ac:dyDescent="0.35">
      <c r="A67" s="7">
        <v>45818</v>
      </c>
      <c r="B67" s="5">
        <v>224</v>
      </c>
      <c r="C67" s="14">
        <v>212</v>
      </c>
      <c r="D67" s="14">
        <v>215</v>
      </c>
      <c r="E67" s="5">
        <v>123.1</v>
      </c>
      <c r="F67" s="5">
        <v>176208</v>
      </c>
      <c r="G67" s="5">
        <v>64813.58</v>
      </c>
      <c r="H67" s="5">
        <v>10.67</v>
      </c>
      <c r="J67" s="10">
        <v>41</v>
      </c>
      <c r="K67" s="10">
        <v>216157.94245026403</v>
      </c>
      <c r="L67" s="10">
        <v>-26291.962450264022</v>
      </c>
      <c r="M67" s="10">
        <v>-0.9572097930806005</v>
      </c>
      <c r="O67" s="10">
        <v>26.2987012987013</v>
      </c>
      <c r="P67" s="10">
        <v>198715.98</v>
      </c>
    </row>
    <row r="68" spans="1:16" x14ac:dyDescent="0.35">
      <c r="A68" s="6">
        <v>45819</v>
      </c>
      <c r="B68" s="4">
        <v>270</v>
      </c>
      <c r="C68" s="14">
        <v>280</v>
      </c>
      <c r="D68" s="14">
        <v>295</v>
      </c>
      <c r="E68" s="4">
        <v>124.8</v>
      </c>
      <c r="F68" s="4">
        <v>189393</v>
      </c>
      <c r="G68" s="4">
        <v>75837.58</v>
      </c>
      <c r="H68" s="4">
        <v>12.08</v>
      </c>
      <c r="J68" s="10">
        <v>42</v>
      </c>
      <c r="K68" s="10">
        <v>222054.23064034243</v>
      </c>
      <c r="L68" s="10">
        <v>-23338.25064034242</v>
      </c>
      <c r="M68" s="10">
        <v>-0.84967419638472164</v>
      </c>
      <c r="O68" s="10">
        <v>26.948051948051948</v>
      </c>
      <c r="P68" s="10">
        <v>199371.98</v>
      </c>
    </row>
    <row r="69" spans="1:16" x14ac:dyDescent="0.35">
      <c r="A69" s="7">
        <v>45820</v>
      </c>
      <c r="B69" s="5">
        <v>300</v>
      </c>
      <c r="C69" s="14">
        <v>291</v>
      </c>
      <c r="D69" s="14">
        <v>312</v>
      </c>
      <c r="E69" s="5">
        <v>126.5</v>
      </c>
      <c r="F69" s="5">
        <v>187379.98</v>
      </c>
      <c r="G69" s="5">
        <v>86619.92</v>
      </c>
      <c r="H69" s="5">
        <v>12.31</v>
      </c>
      <c r="J69" s="10">
        <v>43</v>
      </c>
      <c r="K69" s="10">
        <v>220445.00964449579</v>
      </c>
      <c r="L69" s="10">
        <v>-10866.029644495778</v>
      </c>
      <c r="M69" s="10">
        <v>-0.39559884536161843</v>
      </c>
      <c r="O69" s="10">
        <v>27.597402597402599</v>
      </c>
      <c r="P69" s="10">
        <v>199377.32</v>
      </c>
    </row>
    <row r="70" spans="1:16" x14ac:dyDescent="0.35">
      <c r="A70" s="6">
        <v>45821</v>
      </c>
      <c r="B70" s="4">
        <v>403</v>
      </c>
      <c r="C70" s="14">
        <v>391</v>
      </c>
      <c r="D70" s="14">
        <v>398</v>
      </c>
      <c r="E70" s="4">
        <v>128.1</v>
      </c>
      <c r="F70" s="4">
        <v>195877.32</v>
      </c>
      <c r="G70" s="4">
        <v>98007.09</v>
      </c>
      <c r="H70" s="4">
        <v>10.69</v>
      </c>
      <c r="J70" s="10">
        <v>44</v>
      </c>
      <c r="K70" s="10">
        <v>217920.53584960199</v>
      </c>
      <c r="L70" s="10">
        <v>332.43715039800736</v>
      </c>
      <c r="M70" s="10">
        <v>1.2103018043888377E-2</v>
      </c>
      <c r="O70" s="10">
        <v>28.246753246753247</v>
      </c>
      <c r="P70" s="10">
        <v>201329.99</v>
      </c>
    </row>
    <row r="71" spans="1:16" x14ac:dyDescent="0.35">
      <c r="A71" s="7">
        <v>45822</v>
      </c>
      <c r="B71" s="5">
        <v>435</v>
      </c>
      <c r="C71" s="14">
        <v>423</v>
      </c>
      <c r="D71" s="14">
        <v>426</v>
      </c>
      <c r="E71" s="5">
        <v>129.80000000000001</v>
      </c>
      <c r="F71" s="5">
        <v>206467.64</v>
      </c>
      <c r="G71" s="5">
        <v>107311.34</v>
      </c>
      <c r="H71" s="5">
        <v>10.24</v>
      </c>
      <c r="J71" s="10">
        <v>45</v>
      </c>
      <c r="K71" s="10">
        <v>221224.95867408521</v>
      </c>
      <c r="L71" s="10">
        <v>13316.025325914787</v>
      </c>
      <c r="M71" s="10">
        <v>0.48479568122717037</v>
      </c>
      <c r="O71" s="10">
        <v>28.896103896103895</v>
      </c>
      <c r="P71" s="10">
        <v>202022.31</v>
      </c>
    </row>
    <row r="72" spans="1:16" x14ac:dyDescent="0.35">
      <c r="A72" s="6">
        <v>45823</v>
      </c>
      <c r="B72" s="4">
        <v>413</v>
      </c>
      <c r="C72" s="14">
        <v>404</v>
      </c>
      <c r="D72" s="14">
        <v>344.9</v>
      </c>
      <c r="E72" s="4">
        <v>131.4</v>
      </c>
      <c r="F72" s="4">
        <v>209944.31299999999</v>
      </c>
      <c r="G72" s="4">
        <v>124961.5</v>
      </c>
      <c r="H72" s="4">
        <v>9.8800000000000008</v>
      </c>
      <c r="J72" s="10">
        <v>46</v>
      </c>
      <c r="K72" s="10">
        <v>215890.65599261559</v>
      </c>
      <c r="L72" s="10">
        <v>19510.317007384408</v>
      </c>
      <c r="M72" s="10">
        <v>0.71031086176634239</v>
      </c>
      <c r="O72" s="10">
        <v>29.545454545454547</v>
      </c>
      <c r="P72" s="10">
        <v>202469.98</v>
      </c>
    </row>
    <row r="73" spans="1:16" x14ac:dyDescent="0.35">
      <c r="A73" s="7">
        <v>45824</v>
      </c>
      <c r="B73" s="5">
        <v>401</v>
      </c>
      <c r="C73" s="14">
        <v>389</v>
      </c>
      <c r="D73" s="14">
        <v>408</v>
      </c>
      <c r="E73" s="5">
        <v>132.9</v>
      </c>
      <c r="F73" s="5">
        <v>226742.984</v>
      </c>
      <c r="G73" s="5">
        <v>156151.92000000001</v>
      </c>
      <c r="H73" s="5">
        <v>9.23</v>
      </c>
      <c r="J73" s="10">
        <v>47</v>
      </c>
      <c r="K73" s="10">
        <v>221438.03922963311</v>
      </c>
      <c r="L73" s="10">
        <v>29915.922770366888</v>
      </c>
      <c r="M73" s="10">
        <v>1.0891470843611584</v>
      </c>
      <c r="O73" s="10">
        <v>30.194805194805195</v>
      </c>
      <c r="P73" s="10">
        <v>204132.99</v>
      </c>
    </row>
    <row r="74" spans="1:16" x14ac:dyDescent="0.35">
      <c r="A74" s="6">
        <v>45825</v>
      </c>
      <c r="B74" s="4">
        <v>414</v>
      </c>
      <c r="C74" s="14">
        <v>409</v>
      </c>
      <c r="D74" s="14">
        <v>398</v>
      </c>
      <c r="E74" s="4">
        <v>134.5</v>
      </c>
      <c r="F74" s="4">
        <v>229564.973</v>
      </c>
      <c r="G74" s="4">
        <v>163147.85</v>
      </c>
      <c r="H74" s="4">
        <v>8.7899999999999991</v>
      </c>
      <c r="J74" s="10">
        <v>48</v>
      </c>
      <c r="K74" s="10">
        <v>238075.72794683991</v>
      </c>
      <c r="L74" s="10">
        <v>21652.224053160084</v>
      </c>
      <c r="M74" s="10">
        <v>0.78829113440529963</v>
      </c>
      <c r="O74" s="10">
        <v>30.844155844155846</v>
      </c>
      <c r="P74" s="10">
        <v>204674.98</v>
      </c>
    </row>
    <row r="75" spans="1:16" x14ac:dyDescent="0.35">
      <c r="A75" s="7">
        <v>45826</v>
      </c>
      <c r="B75" s="5">
        <v>410</v>
      </c>
      <c r="C75" s="14">
        <v>401</v>
      </c>
      <c r="D75" s="14">
        <v>386</v>
      </c>
      <c r="E75" s="5">
        <v>136</v>
      </c>
      <c r="F75" s="5">
        <v>243263.962</v>
      </c>
      <c r="G75" s="5">
        <v>151337.04</v>
      </c>
      <c r="H75" s="5">
        <v>8.2899999999999991</v>
      </c>
      <c r="J75" s="10">
        <v>49</v>
      </c>
      <c r="K75" s="10">
        <v>216713.90508086164</v>
      </c>
      <c r="L75" s="10">
        <v>-85276.85208086163</v>
      </c>
      <c r="M75" s="10">
        <v>-3.104668892225154</v>
      </c>
      <c r="O75" s="10">
        <v>31.493506493506494</v>
      </c>
      <c r="P75" s="10">
        <v>204911.97</v>
      </c>
    </row>
    <row r="76" spans="1:16" x14ac:dyDescent="0.35">
      <c r="A76" s="6">
        <v>45827</v>
      </c>
      <c r="B76" s="4">
        <v>323</v>
      </c>
      <c r="C76" s="14">
        <v>200</v>
      </c>
      <c r="D76" s="14">
        <v>360</v>
      </c>
      <c r="E76" s="4">
        <v>137.5</v>
      </c>
      <c r="F76" s="4">
        <v>247103.95199999999</v>
      </c>
      <c r="G76" s="4">
        <v>151405.75</v>
      </c>
      <c r="H76" s="4">
        <v>7.58</v>
      </c>
      <c r="J76" s="10">
        <v>50</v>
      </c>
      <c r="K76" s="10">
        <v>224435.19661907846</v>
      </c>
      <c r="L76" s="10">
        <v>730.80338092154125</v>
      </c>
      <c r="M76" s="10">
        <v>2.6606311885535465E-2</v>
      </c>
      <c r="O76" s="10">
        <v>32.142857142857139</v>
      </c>
      <c r="P76" s="10">
        <v>205460.63699999999</v>
      </c>
    </row>
    <row r="77" spans="1:16" x14ac:dyDescent="0.35">
      <c r="A77" s="7">
        <v>45828</v>
      </c>
      <c r="B77" s="5">
        <v>445</v>
      </c>
      <c r="C77" s="14">
        <v>414</v>
      </c>
      <c r="D77" s="14">
        <v>410</v>
      </c>
      <c r="E77" s="5">
        <v>138.9</v>
      </c>
      <c r="F77" s="5">
        <v>193743.71299999999</v>
      </c>
      <c r="G77" s="5">
        <v>168655.34</v>
      </c>
      <c r="H77" s="5">
        <v>7.25</v>
      </c>
      <c r="J77" s="10">
        <v>51</v>
      </c>
      <c r="K77" s="10">
        <v>229888.91560466116</v>
      </c>
      <c r="L77" s="10">
        <v>33029.064395338821</v>
      </c>
      <c r="M77" s="10">
        <v>1.202487032123029</v>
      </c>
      <c r="O77" s="10">
        <v>32.79220779220779</v>
      </c>
      <c r="P77" s="10">
        <v>205574.64</v>
      </c>
    </row>
    <row r="78" spans="1:16" x14ac:dyDescent="0.35">
      <c r="A78" s="6">
        <v>45829</v>
      </c>
      <c r="B78" s="4">
        <v>440</v>
      </c>
      <c r="C78" s="14">
        <v>423</v>
      </c>
      <c r="D78" s="14">
        <v>439</v>
      </c>
      <c r="E78" s="4">
        <v>140.1</v>
      </c>
      <c r="F78" s="4">
        <v>237102.66</v>
      </c>
      <c r="G78" s="4">
        <v>201040.24</v>
      </c>
      <c r="H78" s="4">
        <v>7.81</v>
      </c>
      <c r="J78" s="10">
        <v>52</v>
      </c>
      <c r="K78" s="10">
        <v>205280.09824109933</v>
      </c>
      <c r="L78" s="10">
        <v>-27926.098241099331</v>
      </c>
      <c r="M78" s="10">
        <v>-1.0167036701607179</v>
      </c>
      <c r="O78" s="10">
        <v>33.441558441558442</v>
      </c>
      <c r="P78" s="10">
        <v>205789.98300000001</v>
      </c>
    </row>
    <row r="79" spans="1:16" x14ac:dyDescent="0.35">
      <c r="A79" s="7">
        <v>45830</v>
      </c>
      <c r="B79" s="5">
        <v>586</v>
      </c>
      <c r="C79" s="14">
        <v>574</v>
      </c>
      <c r="D79" s="14">
        <v>685</v>
      </c>
      <c r="E79" s="5">
        <v>141.19999999999999</v>
      </c>
      <c r="F79" s="5">
        <v>260371.32</v>
      </c>
      <c r="G79" s="5">
        <v>225832.8</v>
      </c>
      <c r="H79" s="5">
        <v>8.31</v>
      </c>
      <c r="J79" s="10">
        <v>53</v>
      </c>
      <c r="K79" s="10">
        <v>208949.3134839882</v>
      </c>
      <c r="L79" s="10">
        <v>-20864.313483988197</v>
      </c>
      <c r="M79" s="10">
        <v>-0.7596057247745146</v>
      </c>
      <c r="O79" s="10">
        <v>34.090909090909093</v>
      </c>
      <c r="P79" s="10">
        <v>206009.304</v>
      </c>
    </row>
    <row r="80" spans="1:16" x14ac:dyDescent="0.35">
      <c r="A80" s="6">
        <v>45848</v>
      </c>
      <c r="B80" s="4">
        <v>184</v>
      </c>
      <c r="C80" s="14">
        <v>174</v>
      </c>
      <c r="D80" s="14">
        <v>181</v>
      </c>
      <c r="E80" s="4">
        <v>123.2</v>
      </c>
      <c r="F80" s="4">
        <v>175062</v>
      </c>
      <c r="G80" s="4">
        <v>65713.5</v>
      </c>
      <c r="H80" s="4">
        <v>10.75</v>
      </c>
      <c r="J80" s="10">
        <v>54</v>
      </c>
      <c r="K80" s="10">
        <v>219021.45661088522</v>
      </c>
      <c r="L80" s="10">
        <v>-30398.476610885205</v>
      </c>
      <c r="M80" s="10">
        <v>-1.1067153911281622</v>
      </c>
      <c r="O80" s="10">
        <v>34.740259740259738</v>
      </c>
      <c r="P80" s="10">
        <v>206223.98</v>
      </c>
    </row>
    <row r="81" spans="1:16" x14ac:dyDescent="0.35">
      <c r="A81" s="7">
        <v>45849</v>
      </c>
      <c r="B81" s="5">
        <v>213</v>
      </c>
      <c r="C81" s="14">
        <v>225</v>
      </c>
      <c r="D81" s="14">
        <v>215</v>
      </c>
      <c r="E81" s="5">
        <v>124.9</v>
      </c>
      <c r="F81" s="5">
        <v>190701</v>
      </c>
      <c r="G81" s="5">
        <v>76782.5</v>
      </c>
      <c r="H81" s="5">
        <v>12.25</v>
      </c>
      <c r="J81" s="10">
        <v>55</v>
      </c>
      <c r="K81" s="10">
        <v>220157.99401218025</v>
      </c>
      <c r="L81" s="10">
        <v>-22861.344012180256</v>
      </c>
      <c r="M81" s="10">
        <v>-0.83231148731629734</v>
      </c>
      <c r="O81" s="10">
        <v>35.38961038961039</v>
      </c>
      <c r="P81" s="10">
        <v>206467.64</v>
      </c>
    </row>
    <row r="82" spans="1:16" x14ac:dyDescent="0.35">
      <c r="A82" s="6">
        <v>45850</v>
      </c>
      <c r="B82" s="4">
        <v>234</v>
      </c>
      <c r="C82" s="14">
        <v>236</v>
      </c>
      <c r="D82" s="14">
        <v>259</v>
      </c>
      <c r="E82" s="4">
        <v>126.6</v>
      </c>
      <c r="F82" s="4">
        <v>186136.98</v>
      </c>
      <c r="G82" s="4">
        <v>87453.5</v>
      </c>
      <c r="H82" s="4">
        <v>12.13</v>
      </c>
      <c r="J82" s="10">
        <v>56</v>
      </c>
      <c r="K82" s="10">
        <v>220500.87608722996</v>
      </c>
      <c r="L82" s="10">
        <v>-12477.566087229963</v>
      </c>
      <c r="M82" s="10">
        <v>-0.45426994942277404</v>
      </c>
      <c r="O82" s="10">
        <v>36.038961038961041</v>
      </c>
      <c r="P82" s="10">
        <v>206557.97099999999</v>
      </c>
    </row>
    <row r="83" spans="1:16" x14ac:dyDescent="0.35">
      <c r="A83" s="7">
        <v>45851</v>
      </c>
      <c r="B83" s="5">
        <v>311</v>
      </c>
      <c r="C83" s="14">
        <v>304</v>
      </c>
      <c r="D83" s="14">
        <v>308</v>
      </c>
      <c r="E83" s="5">
        <v>128.30000000000001</v>
      </c>
      <c r="F83" s="5">
        <v>194457.99</v>
      </c>
      <c r="G83" s="5">
        <v>99117.5</v>
      </c>
      <c r="H83" s="5">
        <v>10.63</v>
      </c>
      <c r="J83" s="10">
        <v>57</v>
      </c>
      <c r="K83" s="10">
        <v>216255.44841102121</v>
      </c>
      <c r="L83" s="10">
        <v>-2156.8054110211961</v>
      </c>
      <c r="M83" s="10">
        <v>-7.85226764682979E-2</v>
      </c>
      <c r="O83" s="10">
        <v>36.688311688311686</v>
      </c>
      <c r="P83" s="10">
        <v>208023.31</v>
      </c>
    </row>
    <row r="84" spans="1:16" x14ac:dyDescent="0.35">
      <c r="A84" s="6">
        <v>45852</v>
      </c>
      <c r="B84" s="4">
        <v>325</v>
      </c>
      <c r="C84" s="14">
        <v>313</v>
      </c>
      <c r="D84" s="14">
        <v>312</v>
      </c>
      <c r="E84" s="4">
        <v>129.9</v>
      </c>
      <c r="F84" s="4">
        <v>204911.97</v>
      </c>
      <c r="G84" s="4">
        <v>107694.17</v>
      </c>
      <c r="H84" s="4">
        <v>10.23</v>
      </c>
      <c r="J84" s="10">
        <v>58</v>
      </c>
      <c r="K84" s="10">
        <v>219324.3597085455</v>
      </c>
      <c r="L84" s="10">
        <v>11317.6242914545</v>
      </c>
      <c r="M84" s="10">
        <v>0.41204002275145318</v>
      </c>
      <c r="O84" s="10">
        <v>37.337662337662337</v>
      </c>
      <c r="P84" s="10">
        <v>209098.63800000001</v>
      </c>
    </row>
    <row r="85" spans="1:16" x14ac:dyDescent="0.35">
      <c r="A85" s="7">
        <v>45853</v>
      </c>
      <c r="B85" s="5">
        <v>314</v>
      </c>
      <c r="C85" s="14">
        <v>308</v>
      </c>
      <c r="D85" s="14">
        <v>335</v>
      </c>
      <c r="E85" s="5">
        <v>131.5</v>
      </c>
      <c r="F85" s="5">
        <v>205789.98300000001</v>
      </c>
      <c r="G85" s="5">
        <v>127879</v>
      </c>
      <c r="H85" s="5">
        <v>9.81</v>
      </c>
      <c r="J85" s="10">
        <v>59</v>
      </c>
      <c r="K85" s="10">
        <v>215130.9567657485</v>
      </c>
      <c r="L85" s="10">
        <v>17352.016234251496</v>
      </c>
      <c r="M85" s="10">
        <v>0.63173374374541236</v>
      </c>
      <c r="O85" s="10">
        <v>37.987012987012989</v>
      </c>
      <c r="P85" s="10">
        <v>209126.97</v>
      </c>
    </row>
    <row r="86" spans="1:16" x14ac:dyDescent="0.35">
      <c r="A86" s="6">
        <v>45854</v>
      </c>
      <c r="B86" s="4">
        <v>380</v>
      </c>
      <c r="C86" s="14">
        <v>369</v>
      </c>
      <c r="D86" s="14">
        <v>379</v>
      </c>
      <c r="E86" s="4">
        <v>133.1</v>
      </c>
      <c r="F86" s="4">
        <v>222843.984</v>
      </c>
      <c r="G86" s="4">
        <v>158305.5</v>
      </c>
      <c r="H86" s="4">
        <v>9.1999999999999993</v>
      </c>
      <c r="J86" s="10">
        <v>60</v>
      </c>
      <c r="K86" s="10">
        <v>225051.38802978778</v>
      </c>
      <c r="L86" s="10">
        <v>22257.573970212223</v>
      </c>
      <c r="M86" s="10">
        <v>0.81033007006630109</v>
      </c>
      <c r="O86" s="10">
        <v>38.63636363636364</v>
      </c>
      <c r="P86" s="10">
        <v>209277.64</v>
      </c>
    </row>
    <row r="87" spans="1:16" x14ac:dyDescent="0.35">
      <c r="A87" s="7">
        <v>45855</v>
      </c>
      <c r="B87" s="5">
        <v>323</v>
      </c>
      <c r="C87" s="14">
        <v>303</v>
      </c>
      <c r="D87" s="14">
        <v>295</v>
      </c>
      <c r="E87" s="5">
        <v>134.6</v>
      </c>
      <c r="F87" s="5">
        <v>226646.973</v>
      </c>
      <c r="G87" s="5">
        <v>161532.01999999999</v>
      </c>
      <c r="H87" s="5">
        <v>8.75</v>
      </c>
      <c r="J87" s="10">
        <v>61</v>
      </c>
      <c r="K87" s="10">
        <v>227585.10712749194</v>
      </c>
      <c r="L87" s="10">
        <v>25830.844872508053</v>
      </c>
      <c r="M87" s="10">
        <v>0.94042191495911831</v>
      </c>
      <c r="O87" s="10">
        <v>39.285714285714285</v>
      </c>
      <c r="P87" s="10">
        <v>209342.98300000001</v>
      </c>
    </row>
    <row r="88" spans="1:16" x14ac:dyDescent="0.35">
      <c r="A88" s="6">
        <v>45856</v>
      </c>
      <c r="B88" s="4">
        <v>396</v>
      </c>
      <c r="C88" s="14">
        <v>383</v>
      </c>
      <c r="D88" s="14">
        <v>375</v>
      </c>
      <c r="E88" s="4">
        <v>136.19999999999999</v>
      </c>
      <c r="F88" s="4">
        <v>239218.962</v>
      </c>
      <c r="G88" s="4">
        <v>151212.04</v>
      </c>
      <c r="H88" s="4">
        <v>8.25</v>
      </c>
      <c r="J88" s="10">
        <v>62</v>
      </c>
      <c r="K88" s="10">
        <v>222754.22171515299</v>
      </c>
      <c r="L88" s="10">
        <v>-60163.83871515299</v>
      </c>
      <c r="M88" s="10">
        <v>-2.1903810229611791</v>
      </c>
      <c r="O88" s="10">
        <v>39.935064935064936</v>
      </c>
      <c r="P88" s="10">
        <v>209428.31</v>
      </c>
    </row>
    <row r="89" spans="1:16" x14ac:dyDescent="0.35">
      <c r="A89" s="7">
        <v>45857</v>
      </c>
      <c r="B89" s="5">
        <v>360</v>
      </c>
      <c r="C89" s="14">
        <v>256</v>
      </c>
      <c r="D89" s="14">
        <v>310</v>
      </c>
      <c r="E89" s="5">
        <v>137.6</v>
      </c>
      <c r="F89" s="5">
        <v>240791.95199999999</v>
      </c>
      <c r="G89" s="5">
        <v>151619.5</v>
      </c>
      <c r="H89" s="5">
        <v>7.5</v>
      </c>
      <c r="J89" s="10">
        <v>63</v>
      </c>
      <c r="K89" s="10">
        <v>233255.22774988972</v>
      </c>
      <c r="L89" s="10">
        <v>-2120.8977498897293</v>
      </c>
      <c r="M89" s="10">
        <v>-7.7215388549159922E-2</v>
      </c>
      <c r="O89" s="10">
        <v>40.584415584415588</v>
      </c>
      <c r="P89" s="10">
        <v>209578.98</v>
      </c>
    </row>
    <row r="90" spans="1:16" x14ac:dyDescent="0.35">
      <c r="A90" s="6">
        <v>45858</v>
      </c>
      <c r="B90" s="4">
        <v>356</v>
      </c>
      <c r="C90" s="14">
        <v>336</v>
      </c>
      <c r="D90" s="14">
        <v>386</v>
      </c>
      <c r="E90" s="4">
        <v>139</v>
      </c>
      <c r="F90" s="4">
        <v>224897.04300000001</v>
      </c>
      <c r="G90" s="4">
        <v>171806</v>
      </c>
      <c r="H90" s="4">
        <v>7.3</v>
      </c>
      <c r="J90" s="10">
        <v>64</v>
      </c>
      <c r="K90" s="10">
        <v>236048.64854306559</v>
      </c>
      <c r="L90" s="10">
        <v>25596.001456934406</v>
      </c>
      <c r="M90" s="10">
        <v>0.93187198576867347</v>
      </c>
      <c r="O90" s="10">
        <v>41.233766233766232</v>
      </c>
      <c r="P90" s="10">
        <v>209944.31299999999</v>
      </c>
    </row>
    <row r="91" spans="1:16" x14ac:dyDescent="0.35">
      <c r="A91" s="7">
        <v>45859</v>
      </c>
      <c r="B91" s="5">
        <v>388</v>
      </c>
      <c r="C91" s="14">
        <v>382</v>
      </c>
      <c r="D91" s="14">
        <v>400</v>
      </c>
      <c r="E91" s="5">
        <v>140.19999999999999</v>
      </c>
      <c r="F91" s="5">
        <v>243070.99</v>
      </c>
      <c r="G91" s="5">
        <v>203106.29</v>
      </c>
      <c r="H91" s="5">
        <v>7.85</v>
      </c>
      <c r="J91" s="10">
        <v>65</v>
      </c>
      <c r="K91" s="10">
        <v>196480.31691301041</v>
      </c>
      <c r="L91" s="10">
        <v>-20272.316913010407</v>
      </c>
      <c r="M91" s="10">
        <v>-0.73805294352883832</v>
      </c>
      <c r="O91" s="10">
        <v>41.883116883116884</v>
      </c>
      <c r="P91" s="10">
        <v>209977.98</v>
      </c>
    </row>
    <row r="92" spans="1:16" x14ac:dyDescent="0.35">
      <c r="A92" s="6">
        <v>45860</v>
      </c>
      <c r="B92" s="4">
        <v>434</v>
      </c>
      <c r="C92" s="14">
        <v>430</v>
      </c>
      <c r="D92" s="14">
        <v>547</v>
      </c>
      <c r="E92" s="4">
        <v>141.30000000000001</v>
      </c>
      <c r="F92" s="4">
        <v>259097.99</v>
      </c>
      <c r="G92" s="4">
        <v>227898.85</v>
      </c>
      <c r="H92" s="4">
        <v>8.35</v>
      </c>
      <c r="J92" s="10">
        <v>66</v>
      </c>
      <c r="K92" s="10">
        <v>200639.76375642914</v>
      </c>
      <c r="L92" s="10">
        <v>-11246.763756429136</v>
      </c>
      <c r="M92" s="10">
        <v>-0.40946020779098691</v>
      </c>
      <c r="O92" s="10">
        <v>42.532467532467535</v>
      </c>
      <c r="P92" s="10">
        <v>211639.30499999999</v>
      </c>
    </row>
    <row r="93" spans="1:16" x14ac:dyDescent="0.35">
      <c r="A93" s="7">
        <v>45879</v>
      </c>
      <c r="B93" s="5">
        <v>193</v>
      </c>
      <c r="C93" s="14">
        <v>200</v>
      </c>
      <c r="D93" s="14">
        <v>216</v>
      </c>
      <c r="E93" s="5">
        <v>123.3</v>
      </c>
      <c r="F93" s="5">
        <v>177418</v>
      </c>
      <c r="G93" s="5">
        <v>66613.42</v>
      </c>
      <c r="H93" s="5">
        <v>10.83</v>
      </c>
      <c r="J93" s="10">
        <v>67</v>
      </c>
      <c r="K93" s="10">
        <v>205946.13321653163</v>
      </c>
      <c r="L93" s="10">
        <v>-18566.153216531617</v>
      </c>
      <c r="M93" s="10">
        <v>-0.6759367511009241</v>
      </c>
      <c r="O93" s="10">
        <v>43.18181818181818</v>
      </c>
      <c r="P93" s="10">
        <v>212895.98300000001</v>
      </c>
    </row>
    <row r="94" spans="1:16" x14ac:dyDescent="0.35">
      <c r="A94" s="6">
        <v>45880</v>
      </c>
      <c r="B94" s="4">
        <v>184</v>
      </c>
      <c r="C94" s="14">
        <v>165</v>
      </c>
      <c r="D94" s="14">
        <v>192</v>
      </c>
      <c r="E94" s="4">
        <v>125.1</v>
      </c>
      <c r="F94" s="4">
        <v>192375.33</v>
      </c>
      <c r="G94" s="4">
        <v>77727.42</v>
      </c>
      <c r="H94" s="4">
        <v>12.42</v>
      </c>
      <c r="J94" s="10">
        <v>68</v>
      </c>
      <c r="K94" s="10">
        <v>219324.3597085455</v>
      </c>
      <c r="L94" s="10">
        <v>-23447.03970854549</v>
      </c>
      <c r="M94" s="10">
        <v>-0.85363487302348839</v>
      </c>
      <c r="O94" s="10">
        <v>43.831168831168831</v>
      </c>
      <c r="P94" s="10">
        <v>214098.64300000001</v>
      </c>
    </row>
    <row r="95" spans="1:16" x14ac:dyDescent="0.35">
      <c r="A95" s="7">
        <v>45881</v>
      </c>
      <c r="B95" s="5">
        <v>266</v>
      </c>
      <c r="C95" s="14">
        <v>262</v>
      </c>
      <c r="D95" s="14">
        <v>261</v>
      </c>
      <c r="E95" s="5">
        <v>126.7</v>
      </c>
      <c r="F95" s="5">
        <v>188780.98</v>
      </c>
      <c r="G95" s="5">
        <v>88287.08</v>
      </c>
      <c r="H95" s="5">
        <v>11.94</v>
      </c>
      <c r="J95" s="10">
        <v>69</v>
      </c>
      <c r="K95" s="10">
        <v>223408.21093456293</v>
      </c>
      <c r="L95" s="10">
        <v>-16940.570934562915</v>
      </c>
      <c r="M95" s="10">
        <v>-0.61675428107031116</v>
      </c>
      <c r="O95" s="10">
        <v>44.480519480519483</v>
      </c>
      <c r="P95" s="10">
        <v>214179.97200000001</v>
      </c>
    </row>
    <row r="96" spans="1:16" x14ac:dyDescent="0.35">
      <c r="A96" s="6">
        <v>45882</v>
      </c>
      <c r="B96" s="4">
        <v>291</v>
      </c>
      <c r="C96" s="14">
        <v>221</v>
      </c>
      <c r="D96" s="14">
        <v>221</v>
      </c>
      <c r="E96" s="4">
        <v>128.4</v>
      </c>
      <c r="F96" s="4">
        <v>195795.32</v>
      </c>
      <c r="G96" s="4">
        <v>100227.92</v>
      </c>
      <c r="H96" s="4">
        <v>10.56</v>
      </c>
      <c r="J96" s="10">
        <v>70</v>
      </c>
      <c r="K96" s="10">
        <v>220367.23285840574</v>
      </c>
      <c r="L96" s="10">
        <v>-10422.919858405745</v>
      </c>
      <c r="M96" s="10">
        <v>-0.37946657575802439</v>
      </c>
      <c r="O96" s="10">
        <v>45.129870129870127</v>
      </c>
      <c r="P96" s="10">
        <v>215537.639</v>
      </c>
    </row>
    <row r="97" spans="1:16" x14ac:dyDescent="0.35">
      <c r="A97" s="7">
        <v>45883</v>
      </c>
      <c r="B97" s="5">
        <v>314</v>
      </c>
      <c r="C97" s="14">
        <v>309</v>
      </c>
      <c r="D97" s="14">
        <v>308</v>
      </c>
      <c r="E97" s="5">
        <v>130.1</v>
      </c>
      <c r="F97" s="5">
        <v>205460.63699999999</v>
      </c>
      <c r="G97" s="5">
        <v>108077</v>
      </c>
      <c r="H97" s="5">
        <v>10.23</v>
      </c>
      <c r="J97" s="10">
        <v>71</v>
      </c>
      <c r="K97" s="10">
        <v>219069.11900691938</v>
      </c>
      <c r="L97" s="10">
        <v>7673.8649930806132</v>
      </c>
      <c r="M97" s="10">
        <v>0.27938191133699092</v>
      </c>
      <c r="O97" s="10">
        <v>45.779220779220779</v>
      </c>
      <c r="P97" s="10">
        <v>216448.98300000001</v>
      </c>
    </row>
    <row r="98" spans="1:16" x14ac:dyDescent="0.35">
      <c r="A98" s="6">
        <v>45884</v>
      </c>
      <c r="B98" s="4">
        <v>323</v>
      </c>
      <c r="C98" s="14">
        <v>314</v>
      </c>
      <c r="D98" s="14">
        <v>325</v>
      </c>
      <c r="E98" s="4">
        <v>131.6</v>
      </c>
      <c r="F98" s="4">
        <v>209342.98300000001</v>
      </c>
      <c r="G98" s="4">
        <v>130796.5</v>
      </c>
      <c r="H98" s="4">
        <v>9.74</v>
      </c>
      <c r="J98" s="10">
        <v>72</v>
      </c>
      <c r="K98" s="10">
        <v>220183.74606485857</v>
      </c>
      <c r="L98" s="10">
        <v>9381.2269351414288</v>
      </c>
      <c r="M98" s="10">
        <v>0.34154172821506934</v>
      </c>
      <c r="O98" s="10">
        <v>46.428571428571431</v>
      </c>
      <c r="P98" s="10">
        <v>216895.30600000001</v>
      </c>
    </row>
    <row r="99" spans="1:16" x14ac:dyDescent="0.35">
      <c r="A99" s="7">
        <v>45885</v>
      </c>
      <c r="B99" s="5">
        <v>347</v>
      </c>
      <c r="C99" s="14">
        <v>323</v>
      </c>
      <c r="D99" s="14">
        <v>310</v>
      </c>
      <c r="E99" s="5">
        <v>133.19999999999999</v>
      </c>
      <c r="F99" s="5">
        <v>226038.31700000001</v>
      </c>
      <c r="G99" s="5">
        <v>160459.07999999999</v>
      </c>
      <c r="H99" s="5">
        <v>9.17</v>
      </c>
      <c r="J99" s="10">
        <v>73</v>
      </c>
      <c r="K99" s="10">
        <v>219984.37180596663</v>
      </c>
      <c r="L99" s="10">
        <v>23279.590194033372</v>
      </c>
      <c r="M99" s="10">
        <v>0.84753854927280603</v>
      </c>
      <c r="O99" s="10">
        <v>47.077922077922082</v>
      </c>
      <c r="P99" s="10">
        <v>218252.973</v>
      </c>
    </row>
    <row r="100" spans="1:16" x14ac:dyDescent="0.35">
      <c r="A100" s="6">
        <v>45886</v>
      </c>
      <c r="B100" s="4">
        <v>321</v>
      </c>
      <c r="C100" s="14">
        <v>348</v>
      </c>
      <c r="D100" s="14">
        <v>296</v>
      </c>
      <c r="E100" s="4">
        <v>134.80000000000001</v>
      </c>
      <c r="F100" s="4">
        <v>232428.30300000001</v>
      </c>
      <c r="G100" s="4">
        <v>159916.19</v>
      </c>
      <c r="H100" s="4">
        <v>8.7100000000000009</v>
      </c>
      <c r="J100" s="10">
        <v>74</v>
      </c>
      <c r="K100" s="10">
        <v>217747.9548994987</v>
      </c>
      <c r="L100" s="10">
        <v>29355.997100501292</v>
      </c>
      <c r="M100" s="10">
        <v>1.0687619063583202</v>
      </c>
      <c r="O100" s="10">
        <v>47.727272727272727</v>
      </c>
      <c r="P100" s="10">
        <v>219246.98300000001</v>
      </c>
    </row>
    <row r="101" spans="1:16" x14ac:dyDescent="0.35">
      <c r="A101" s="7">
        <v>45887</v>
      </c>
      <c r="B101" s="5">
        <v>378</v>
      </c>
      <c r="C101" s="14">
        <v>386</v>
      </c>
      <c r="D101" s="14">
        <v>380</v>
      </c>
      <c r="E101" s="5">
        <v>136.30000000000001</v>
      </c>
      <c r="F101" s="5">
        <v>246475.29500000001</v>
      </c>
      <c r="G101" s="5">
        <v>151087.04000000001</v>
      </c>
      <c r="H101" s="5">
        <v>8.2100000000000009</v>
      </c>
      <c r="J101" s="10">
        <v>75</v>
      </c>
      <c r="K101" s="10">
        <v>226162.17337840458</v>
      </c>
      <c r="L101" s="10">
        <v>-32418.46037840459</v>
      </c>
      <c r="M101" s="10">
        <v>-1.1802568107841145</v>
      </c>
      <c r="O101" s="10">
        <v>48.376623376623378</v>
      </c>
      <c r="P101" s="10">
        <v>222044.98300000001</v>
      </c>
    </row>
    <row r="102" spans="1:16" x14ac:dyDescent="0.35">
      <c r="A102" s="6">
        <v>45888</v>
      </c>
      <c r="B102" s="4">
        <v>331</v>
      </c>
      <c r="C102" s="14">
        <v>270</v>
      </c>
      <c r="D102" s="14">
        <v>321</v>
      </c>
      <c r="E102" s="4">
        <v>137.69999999999999</v>
      </c>
      <c r="F102" s="4">
        <v>246430.61900000001</v>
      </c>
      <c r="G102" s="4">
        <v>151833.25</v>
      </c>
      <c r="H102" s="4">
        <v>7.42</v>
      </c>
      <c r="J102" s="10">
        <v>76</v>
      </c>
      <c r="K102" s="10">
        <v>224435.19661907846</v>
      </c>
      <c r="L102" s="10">
        <v>12667.463380921545</v>
      </c>
      <c r="M102" s="10">
        <v>0.46118352803239432</v>
      </c>
      <c r="O102" s="10">
        <v>49.02597402597403</v>
      </c>
      <c r="P102" s="10">
        <v>222843.984</v>
      </c>
    </row>
    <row r="103" spans="1:16" x14ac:dyDescent="0.35">
      <c r="A103" s="7">
        <v>45889</v>
      </c>
      <c r="B103" s="5">
        <v>326</v>
      </c>
      <c r="C103" s="14">
        <v>322</v>
      </c>
      <c r="D103" s="14">
        <v>326</v>
      </c>
      <c r="E103" s="5">
        <v>139.1</v>
      </c>
      <c r="F103" s="5">
        <v>241515.37299999999</v>
      </c>
      <c r="G103" s="5">
        <v>174956.67</v>
      </c>
      <c r="H103" s="5">
        <v>7.35</v>
      </c>
      <c r="J103" s="10">
        <v>77</v>
      </c>
      <c r="K103" s="10">
        <v>242678.88390733278</v>
      </c>
      <c r="L103" s="10">
        <v>17692.436092667223</v>
      </c>
      <c r="M103" s="10">
        <v>0.64412738772885625</v>
      </c>
      <c r="O103" s="10">
        <v>49.675324675324674</v>
      </c>
      <c r="P103" s="10">
        <v>224842.98300000001</v>
      </c>
    </row>
    <row r="104" spans="1:16" x14ac:dyDescent="0.35">
      <c r="A104" s="6">
        <v>45890</v>
      </c>
      <c r="B104" s="4">
        <v>396</v>
      </c>
      <c r="C104" s="14">
        <v>391</v>
      </c>
      <c r="D104" s="14">
        <v>395</v>
      </c>
      <c r="E104" s="4">
        <v>140.30000000000001</v>
      </c>
      <c r="F104" s="4">
        <v>251071.99</v>
      </c>
      <c r="G104" s="4">
        <v>205172.33</v>
      </c>
      <c r="H104" s="4">
        <v>7.89</v>
      </c>
      <c r="J104" s="10">
        <v>78</v>
      </c>
      <c r="K104" s="10">
        <v>191219.94930830848</v>
      </c>
      <c r="L104" s="10">
        <v>-16157.949308308482</v>
      </c>
      <c r="M104" s="10">
        <v>-0.58826142564559614</v>
      </c>
      <c r="O104" s="10">
        <v>50.324675324675326</v>
      </c>
      <c r="P104" s="10">
        <v>224897.04300000001</v>
      </c>
    </row>
    <row r="105" spans="1:16" x14ac:dyDescent="0.35">
      <c r="A105" s="7">
        <v>45891</v>
      </c>
      <c r="B105" s="5">
        <v>422</v>
      </c>
      <c r="C105" s="14">
        <v>419</v>
      </c>
      <c r="D105" s="14">
        <v>526</v>
      </c>
      <c r="E105" s="5">
        <v>141.4</v>
      </c>
      <c r="F105" s="5">
        <v>257824.66</v>
      </c>
      <c r="G105" s="5">
        <v>229964.9</v>
      </c>
      <c r="H105" s="5">
        <v>8.39</v>
      </c>
      <c r="J105" s="10">
        <v>79</v>
      </c>
      <c r="K105" s="10">
        <v>193209.85018790542</v>
      </c>
      <c r="L105" s="10">
        <v>-2508.8501879054238</v>
      </c>
      <c r="M105" s="10">
        <v>-9.1339548113916494E-2</v>
      </c>
      <c r="O105" s="10">
        <v>50.974025974025977</v>
      </c>
      <c r="P105" s="10">
        <v>225166</v>
      </c>
    </row>
    <row r="106" spans="1:16" x14ac:dyDescent="0.35">
      <c r="A106" s="6">
        <v>45910</v>
      </c>
      <c r="B106" s="4">
        <v>169</v>
      </c>
      <c r="C106" s="14">
        <v>152</v>
      </c>
      <c r="D106" s="14">
        <v>178</v>
      </c>
      <c r="E106" s="4">
        <v>123.5</v>
      </c>
      <c r="F106" s="4">
        <v>179774</v>
      </c>
      <c r="G106" s="4">
        <v>67513.33</v>
      </c>
      <c r="H106" s="4">
        <v>10.92</v>
      </c>
      <c r="J106" s="10">
        <v>80</v>
      </c>
      <c r="K106" s="10">
        <v>196667.64541587999</v>
      </c>
      <c r="L106" s="10">
        <v>-10530.665415879979</v>
      </c>
      <c r="M106" s="10">
        <v>-0.38338926136851714</v>
      </c>
      <c r="O106" s="10">
        <v>51.623376623376622</v>
      </c>
      <c r="P106" s="10">
        <v>226038.31700000001</v>
      </c>
    </row>
    <row r="107" spans="1:16" x14ac:dyDescent="0.35">
      <c r="A107" s="7">
        <v>45911</v>
      </c>
      <c r="B107" s="5">
        <v>234</v>
      </c>
      <c r="C107" s="14">
        <v>191</v>
      </c>
      <c r="D107" s="14">
        <v>219</v>
      </c>
      <c r="E107" s="5">
        <v>125.2</v>
      </c>
      <c r="F107" s="5">
        <v>194049.66</v>
      </c>
      <c r="G107" s="5">
        <v>78672.33</v>
      </c>
      <c r="H107" s="5">
        <v>12.58</v>
      </c>
      <c r="J107" s="10">
        <v>81</v>
      </c>
      <c r="K107" s="10">
        <v>207194.40350329503</v>
      </c>
      <c r="L107" s="10">
        <v>-12736.413503295043</v>
      </c>
      <c r="M107" s="10">
        <v>-0.4636937907217949</v>
      </c>
      <c r="O107" s="10">
        <v>52.272727272727273</v>
      </c>
      <c r="P107" s="10">
        <v>226631.973</v>
      </c>
    </row>
    <row r="108" spans="1:16" x14ac:dyDescent="0.35">
      <c r="A108" s="6">
        <v>45912</v>
      </c>
      <c r="B108" s="4">
        <v>287</v>
      </c>
      <c r="C108" s="14">
        <v>278</v>
      </c>
      <c r="D108" s="14">
        <v>286</v>
      </c>
      <c r="E108" s="4">
        <v>126.9</v>
      </c>
      <c r="F108" s="4">
        <v>191424.98</v>
      </c>
      <c r="G108" s="4">
        <v>89120.67</v>
      </c>
      <c r="H108" s="4">
        <v>11.75</v>
      </c>
      <c r="J108" s="10">
        <v>82</v>
      </c>
      <c r="K108" s="10">
        <v>209369.97234512796</v>
      </c>
      <c r="L108" s="10">
        <v>-4458.0023451279558</v>
      </c>
      <c r="M108" s="10">
        <v>-0.1623022058701408</v>
      </c>
      <c r="O108" s="10">
        <v>52.922077922077925</v>
      </c>
      <c r="P108" s="10">
        <v>226646.973</v>
      </c>
    </row>
    <row r="109" spans="1:16" x14ac:dyDescent="0.35">
      <c r="A109" s="7">
        <v>45913</v>
      </c>
      <c r="B109" s="5">
        <v>323</v>
      </c>
      <c r="C109" s="14">
        <v>344</v>
      </c>
      <c r="D109" s="14">
        <v>335</v>
      </c>
      <c r="E109" s="5">
        <v>128.6</v>
      </c>
      <c r="F109" s="5">
        <v>197132.65</v>
      </c>
      <c r="G109" s="5">
        <v>101338.34</v>
      </c>
      <c r="H109" s="5">
        <v>10.5</v>
      </c>
      <c r="J109" s="10">
        <v>83</v>
      </c>
      <c r="K109" s="10">
        <v>207499.4877696441</v>
      </c>
      <c r="L109" s="10">
        <v>-1709.5047696440888</v>
      </c>
      <c r="M109" s="10">
        <v>-6.2237830664667093E-2</v>
      </c>
      <c r="O109" s="10">
        <v>53.571428571428569</v>
      </c>
      <c r="P109" s="10">
        <v>226742.984</v>
      </c>
    </row>
    <row r="110" spans="1:16" x14ac:dyDescent="0.35">
      <c r="A110" s="6">
        <v>45914</v>
      </c>
      <c r="B110" s="4">
        <v>302</v>
      </c>
      <c r="C110" s="14">
        <v>314</v>
      </c>
      <c r="D110" s="14">
        <v>298</v>
      </c>
      <c r="E110" s="4">
        <v>130.19999999999999</v>
      </c>
      <c r="F110" s="4">
        <v>206009.304</v>
      </c>
      <c r="G110" s="4">
        <v>108459.84</v>
      </c>
      <c r="H110" s="4">
        <v>10.23</v>
      </c>
      <c r="J110" s="10">
        <v>84</v>
      </c>
      <c r="K110" s="10">
        <v>216311.31485375538</v>
      </c>
      <c r="L110" s="10">
        <v>6532.6691462446179</v>
      </c>
      <c r="M110" s="10">
        <v>0.23783446722814108</v>
      </c>
      <c r="O110" s="10">
        <v>54.220779220779221</v>
      </c>
      <c r="P110" s="10">
        <v>228075.65</v>
      </c>
    </row>
    <row r="111" spans="1:16" x14ac:dyDescent="0.35">
      <c r="A111" s="7">
        <v>45915</v>
      </c>
      <c r="B111" s="5">
        <v>311</v>
      </c>
      <c r="C111" s="14">
        <v>343</v>
      </c>
      <c r="D111" s="14">
        <v>325</v>
      </c>
      <c r="E111" s="5">
        <v>131.80000000000001</v>
      </c>
      <c r="F111" s="5">
        <v>212895.98300000001</v>
      </c>
      <c r="G111" s="5">
        <v>133714</v>
      </c>
      <c r="H111" s="5">
        <v>9.67</v>
      </c>
      <c r="J111" s="10">
        <v>85</v>
      </c>
      <c r="K111" s="10">
        <v>209736.94593222236</v>
      </c>
      <c r="L111" s="10">
        <v>16910.027067777643</v>
      </c>
      <c r="M111" s="10">
        <v>0.61564227246841552</v>
      </c>
      <c r="O111" s="10">
        <v>54.870129870129873</v>
      </c>
      <c r="P111" s="10">
        <v>228563.64300000001</v>
      </c>
    </row>
    <row r="112" spans="1:16" x14ac:dyDescent="0.35">
      <c r="A112" s="6">
        <v>45916</v>
      </c>
      <c r="B112" s="4">
        <v>314</v>
      </c>
      <c r="C112" s="14">
        <v>304</v>
      </c>
      <c r="D112" s="14">
        <v>329</v>
      </c>
      <c r="E112" s="4">
        <v>133.30000000000001</v>
      </c>
      <c r="F112" s="4">
        <v>229232.65</v>
      </c>
      <c r="G112" s="4">
        <v>162612.66</v>
      </c>
      <c r="H112" s="4">
        <v>9.1300000000000008</v>
      </c>
      <c r="J112" s="10">
        <v>86</v>
      </c>
      <c r="K112" s="10">
        <v>218508.79403894424</v>
      </c>
      <c r="L112" s="10">
        <v>20710.167961055762</v>
      </c>
      <c r="M112" s="10">
        <v>0.75399375859323114</v>
      </c>
      <c r="O112" s="10">
        <v>55.519480519480517</v>
      </c>
      <c r="P112" s="10">
        <v>229232.65</v>
      </c>
    </row>
    <row r="113" spans="1:16" x14ac:dyDescent="0.35">
      <c r="A113" s="7">
        <v>45917</v>
      </c>
      <c r="B113" s="5">
        <v>359</v>
      </c>
      <c r="C113" s="14">
        <v>377</v>
      </c>
      <c r="D113" s="14">
        <v>398</v>
      </c>
      <c r="E113" s="5">
        <v>134.9</v>
      </c>
      <c r="F113" s="5">
        <v>238209.633</v>
      </c>
      <c r="G113" s="5">
        <v>158300.35999999999</v>
      </c>
      <c r="H113" s="5">
        <v>8.67</v>
      </c>
      <c r="J113" s="10">
        <v>87</v>
      </c>
      <c r="K113" s="10">
        <v>220992.14894387021</v>
      </c>
      <c r="L113" s="10">
        <v>19799.803056129778</v>
      </c>
      <c r="M113" s="10">
        <v>0.72085016180312955</v>
      </c>
      <c r="O113" s="10">
        <v>56.168831168831169</v>
      </c>
      <c r="P113" s="10">
        <v>229554.973</v>
      </c>
    </row>
    <row r="114" spans="1:16" x14ac:dyDescent="0.35">
      <c r="A114" s="6">
        <v>45918</v>
      </c>
      <c r="B114" s="4">
        <v>386</v>
      </c>
      <c r="C114" s="14">
        <v>369</v>
      </c>
      <c r="D114" s="14">
        <v>395</v>
      </c>
      <c r="E114" s="4">
        <v>136.4</v>
      </c>
      <c r="F114" s="4">
        <v>253731.628</v>
      </c>
      <c r="G114" s="4">
        <v>150962.04</v>
      </c>
      <c r="H114" s="4">
        <v>8.17</v>
      </c>
      <c r="J114" s="10">
        <v>88</v>
      </c>
      <c r="K114" s="10">
        <v>213948.41750905284</v>
      </c>
      <c r="L114" s="10">
        <v>10948.625490947161</v>
      </c>
      <c r="M114" s="10">
        <v>0.39860590705359383</v>
      </c>
      <c r="O114" s="10">
        <v>56.81818181818182</v>
      </c>
      <c r="P114" s="10">
        <v>229564.973</v>
      </c>
    </row>
    <row r="115" spans="1:16" x14ac:dyDescent="0.35">
      <c r="A115" s="7">
        <v>45919</v>
      </c>
      <c r="B115" s="5">
        <v>333</v>
      </c>
      <c r="C115" s="14">
        <v>260</v>
      </c>
      <c r="D115" s="14">
        <v>315</v>
      </c>
      <c r="E115" s="5">
        <v>137.80000000000001</v>
      </c>
      <c r="F115" s="5">
        <v>252069.28599999999</v>
      </c>
      <c r="G115" s="5">
        <v>152047</v>
      </c>
      <c r="H115" s="5">
        <v>7.33</v>
      </c>
      <c r="J115" s="10">
        <v>89</v>
      </c>
      <c r="K115" s="10">
        <v>216943.39372980944</v>
      </c>
      <c r="L115" s="10">
        <v>26127.596270190552</v>
      </c>
      <c r="M115" s="10">
        <v>0.95122572408935657</v>
      </c>
      <c r="O115" s="10">
        <v>57.467532467532465</v>
      </c>
      <c r="P115" s="10">
        <v>230495.31299999999</v>
      </c>
    </row>
    <row r="116" spans="1:16" x14ac:dyDescent="0.35">
      <c r="A116" s="6">
        <v>45920</v>
      </c>
      <c r="B116" s="4">
        <v>388</v>
      </c>
      <c r="C116" s="14">
        <v>423</v>
      </c>
      <c r="D116" s="14">
        <v>388</v>
      </c>
      <c r="E116" s="4">
        <v>139.19999999999999</v>
      </c>
      <c r="F116" s="4">
        <v>258133.70300000001</v>
      </c>
      <c r="G116" s="4">
        <v>178107.34</v>
      </c>
      <c r="H116" s="4">
        <v>7.4</v>
      </c>
      <c r="J116" s="10">
        <v>90</v>
      </c>
      <c r="K116" s="10">
        <v>222658.37629502939</v>
      </c>
      <c r="L116" s="10">
        <v>36439.613704970601</v>
      </c>
      <c r="M116" s="10">
        <v>1.3266546824130909</v>
      </c>
      <c r="O116" s="10">
        <v>58.116883116883116</v>
      </c>
      <c r="P116" s="10">
        <v>230641.984</v>
      </c>
    </row>
    <row r="117" spans="1:16" x14ac:dyDescent="0.35">
      <c r="A117" s="7">
        <v>45921</v>
      </c>
      <c r="B117" s="5">
        <v>406</v>
      </c>
      <c r="C117" s="14">
        <v>420</v>
      </c>
      <c r="D117" s="14">
        <v>415</v>
      </c>
      <c r="E117" s="5">
        <v>140.4</v>
      </c>
      <c r="F117" s="5">
        <v>259072.99</v>
      </c>
      <c r="G117" s="5">
        <v>207238.38</v>
      </c>
      <c r="H117" s="5">
        <v>7.93</v>
      </c>
      <c r="J117" s="10">
        <v>91</v>
      </c>
      <c r="K117" s="10">
        <v>191046.32710209483</v>
      </c>
      <c r="L117" s="10">
        <v>-13628.32710209483</v>
      </c>
      <c r="M117" s="10">
        <v>-0.49616563199145808</v>
      </c>
      <c r="O117" s="10">
        <v>58.766233766233768</v>
      </c>
      <c r="P117" s="10">
        <v>230779.65299999999</v>
      </c>
    </row>
    <row r="118" spans="1:16" x14ac:dyDescent="0.35">
      <c r="A118" s="6">
        <v>45922</v>
      </c>
      <c r="B118" s="4">
        <v>433</v>
      </c>
      <c r="C118" s="14">
        <v>431</v>
      </c>
      <c r="D118" s="14">
        <v>502</v>
      </c>
      <c r="E118" s="4">
        <v>141.5</v>
      </c>
      <c r="F118" s="4">
        <v>256551.33</v>
      </c>
      <c r="G118" s="4">
        <v>232030.94</v>
      </c>
      <c r="H118" s="4">
        <v>8.43</v>
      </c>
      <c r="J118" s="10">
        <v>92</v>
      </c>
      <c r="K118" s="10">
        <v>191919.94038311901</v>
      </c>
      <c r="L118" s="10">
        <v>455.38961688097334</v>
      </c>
      <c r="M118" s="10">
        <v>1.6579340616748567E-2</v>
      </c>
      <c r="O118" s="10">
        <v>59.415584415584419</v>
      </c>
      <c r="P118" s="10">
        <v>231134.33</v>
      </c>
    </row>
    <row r="119" spans="1:16" x14ac:dyDescent="0.35">
      <c r="A119" s="7">
        <v>45940</v>
      </c>
      <c r="B119" s="5">
        <v>200</v>
      </c>
      <c r="C119" s="14">
        <v>214</v>
      </c>
      <c r="D119" s="14">
        <v>215</v>
      </c>
      <c r="E119" s="5">
        <v>123.6</v>
      </c>
      <c r="F119" s="5">
        <v>182130</v>
      </c>
      <c r="G119" s="5">
        <v>68413.25</v>
      </c>
      <c r="H119" s="5">
        <v>11</v>
      </c>
      <c r="J119" s="10">
        <v>93</v>
      </c>
      <c r="K119" s="10">
        <v>201218.15735843781</v>
      </c>
      <c r="L119" s="10">
        <v>-12437.177358437795</v>
      </c>
      <c r="M119" s="10">
        <v>-0.45279951956029907</v>
      </c>
      <c r="O119" s="10">
        <v>60.064935064935064</v>
      </c>
      <c r="P119" s="10">
        <v>231308.31700000001</v>
      </c>
    </row>
    <row r="120" spans="1:16" x14ac:dyDescent="0.35">
      <c r="A120" s="6">
        <v>45941</v>
      </c>
      <c r="B120" s="4">
        <v>251</v>
      </c>
      <c r="C120" s="14">
        <v>243</v>
      </c>
      <c r="D120" s="14">
        <v>250</v>
      </c>
      <c r="E120" s="4">
        <v>125.3</v>
      </c>
      <c r="F120" s="4">
        <v>195723.99</v>
      </c>
      <c r="G120" s="4">
        <v>79617.25</v>
      </c>
      <c r="H120" s="4">
        <v>12.75</v>
      </c>
      <c r="J120" s="10">
        <v>94</v>
      </c>
      <c r="K120" s="10">
        <v>209541.93401070801</v>
      </c>
      <c r="L120" s="10">
        <v>-13746.614010707999</v>
      </c>
      <c r="M120" s="10">
        <v>-0.50047209589775421</v>
      </c>
      <c r="O120" s="10">
        <v>60.714285714285715</v>
      </c>
      <c r="P120" s="10">
        <v>232426.98300000001</v>
      </c>
    </row>
    <row r="121" spans="1:16" x14ac:dyDescent="0.35">
      <c r="A121" s="7">
        <v>45942</v>
      </c>
      <c r="B121" s="5">
        <v>303</v>
      </c>
      <c r="C121" s="14">
        <v>291</v>
      </c>
      <c r="D121" s="14">
        <v>300</v>
      </c>
      <c r="E121" s="5">
        <v>127</v>
      </c>
      <c r="F121" s="5">
        <v>194068.98</v>
      </c>
      <c r="G121" s="5">
        <v>89954.25</v>
      </c>
      <c r="H121" s="5">
        <v>11.56</v>
      </c>
      <c r="J121" s="10">
        <v>95</v>
      </c>
      <c r="K121" s="10">
        <v>207421.71098355405</v>
      </c>
      <c r="L121" s="10">
        <v>-1961.0739835540589</v>
      </c>
      <c r="M121" s="10">
        <v>-7.1396694923953063E-2</v>
      </c>
      <c r="O121" s="10">
        <v>61.363636363636367</v>
      </c>
      <c r="P121" s="10">
        <v>232428.30300000001</v>
      </c>
    </row>
    <row r="122" spans="1:16" x14ac:dyDescent="0.35">
      <c r="A122" s="6">
        <v>45943</v>
      </c>
      <c r="B122" s="4">
        <v>309</v>
      </c>
      <c r="C122" s="14">
        <v>291</v>
      </c>
      <c r="D122" s="14">
        <v>298</v>
      </c>
      <c r="E122" s="4">
        <v>128.69999999999999</v>
      </c>
      <c r="F122" s="4">
        <v>198469.98</v>
      </c>
      <c r="G122" s="4">
        <v>102448.75</v>
      </c>
      <c r="H122" s="4">
        <v>10.44</v>
      </c>
      <c r="J122" s="10">
        <v>96</v>
      </c>
      <c r="K122" s="10">
        <v>208881.4012852317</v>
      </c>
      <c r="L122" s="10">
        <v>461.58171476831194</v>
      </c>
      <c r="M122" s="10">
        <v>1.680477592796531E-2</v>
      </c>
      <c r="O122" s="10">
        <v>62.012987012987011</v>
      </c>
      <c r="P122" s="10">
        <v>232477.973</v>
      </c>
    </row>
    <row r="123" spans="1:16" x14ac:dyDescent="0.35">
      <c r="A123" s="7">
        <v>45944</v>
      </c>
      <c r="B123" s="5">
        <v>300</v>
      </c>
      <c r="C123" s="14">
        <v>301</v>
      </c>
      <c r="D123" s="14">
        <v>285</v>
      </c>
      <c r="E123" s="5">
        <v>130.30000000000001</v>
      </c>
      <c r="F123" s="5">
        <v>206557.97099999999</v>
      </c>
      <c r="G123" s="5">
        <v>108842.67</v>
      </c>
      <c r="H123" s="5">
        <v>10.220000000000001</v>
      </c>
      <c r="J123" s="10">
        <v>97</v>
      </c>
      <c r="K123" s="10">
        <v>213110.94149609571</v>
      </c>
      <c r="L123" s="10">
        <v>12927.375503904303</v>
      </c>
      <c r="M123" s="10">
        <v>0.47064613204797884</v>
      </c>
      <c r="O123" s="10">
        <v>62.662337662337663</v>
      </c>
      <c r="P123" s="10">
        <v>232482.973</v>
      </c>
    </row>
    <row r="124" spans="1:16" x14ac:dyDescent="0.35">
      <c r="A124" s="6">
        <v>45945</v>
      </c>
      <c r="B124" s="4">
        <v>318</v>
      </c>
      <c r="C124" s="14">
        <v>313</v>
      </c>
      <c r="D124" s="14">
        <v>316</v>
      </c>
      <c r="E124" s="4">
        <v>131.9</v>
      </c>
      <c r="F124" s="4">
        <v>216448.98300000001</v>
      </c>
      <c r="G124" s="4">
        <v>136631.5</v>
      </c>
      <c r="H124" s="4">
        <v>9.6</v>
      </c>
      <c r="J124" s="10">
        <v>98</v>
      </c>
      <c r="K124" s="10">
        <v>205826.19628436337</v>
      </c>
      <c r="L124" s="10">
        <v>26602.106715636648</v>
      </c>
      <c r="M124" s="10">
        <v>0.96850119548709857</v>
      </c>
      <c r="O124" s="10">
        <v>63.311688311688314</v>
      </c>
      <c r="P124" s="10">
        <v>234540.984</v>
      </c>
    </row>
    <row r="125" spans="1:16" x14ac:dyDescent="0.35">
      <c r="A125" s="7">
        <v>45946</v>
      </c>
      <c r="B125" s="5">
        <v>336</v>
      </c>
      <c r="C125" s="14">
        <v>312</v>
      </c>
      <c r="D125" s="14">
        <v>338</v>
      </c>
      <c r="E125" s="5">
        <v>133.5</v>
      </c>
      <c r="F125" s="5">
        <v>232426.98300000001</v>
      </c>
      <c r="G125" s="5">
        <v>164766.25</v>
      </c>
      <c r="H125" s="5">
        <v>9.1</v>
      </c>
      <c r="J125" s="10">
        <v>99</v>
      </c>
      <c r="K125" s="10">
        <v>214578.31521641812</v>
      </c>
      <c r="L125" s="10">
        <v>31896.97978358189</v>
      </c>
      <c r="M125" s="10">
        <v>1.1612713001661814</v>
      </c>
      <c r="O125" s="10">
        <v>63.961038961038959</v>
      </c>
      <c r="P125" s="10">
        <v>235400.973</v>
      </c>
    </row>
    <row r="126" spans="1:16" x14ac:dyDescent="0.35">
      <c r="A126" s="6">
        <v>45947</v>
      </c>
      <c r="B126" s="4">
        <v>388</v>
      </c>
      <c r="C126" s="14">
        <v>398</v>
      </c>
      <c r="D126" s="14">
        <v>405</v>
      </c>
      <c r="E126" s="4">
        <v>135</v>
      </c>
      <c r="F126" s="4">
        <v>243990.96299999999</v>
      </c>
      <c r="G126" s="4">
        <v>156684.53</v>
      </c>
      <c r="H126" s="4">
        <v>8.6199999999999992</v>
      </c>
      <c r="J126" s="10">
        <v>100</v>
      </c>
      <c r="K126" s="10">
        <v>213946.75696841924</v>
      </c>
      <c r="L126" s="10">
        <v>32483.862031580764</v>
      </c>
      <c r="M126" s="10">
        <v>1.1826378845827066</v>
      </c>
      <c r="O126" s="10">
        <v>64.610389610389618</v>
      </c>
      <c r="P126" s="10">
        <v>237102.66</v>
      </c>
    </row>
    <row r="127" spans="1:16" x14ac:dyDescent="0.35">
      <c r="A127" s="7">
        <v>45948</v>
      </c>
      <c r="B127" s="5">
        <v>396</v>
      </c>
      <c r="C127" s="14">
        <v>391</v>
      </c>
      <c r="D127" s="14">
        <v>425</v>
      </c>
      <c r="E127" s="5">
        <v>136.5</v>
      </c>
      <c r="F127" s="5">
        <v>260987.96100000001</v>
      </c>
      <c r="G127" s="5">
        <v>150837.04</v>
      </c>
      <c r="H127" s="5">
        <v>8.1199999999999992</v>
      </c>
      <c r="J127" s="10">
        <v>101</v>
      </c>
      <c r="K127" s="10">
        <v>208875.37840722053</v>
      </c>
      <c r="L127" s="10">
        <v>32639.994592779462</v>
      </c>
      <c r="M127" s="10">
        <v>1.1883221927388918</v>
      </c>
      <c r="O127" s="10">
        <v>65.259740259740255</v>
      </c>
      <c r="P127" s="10">
        <v>238209.633</v>
      </c>
    </row>
    <row r="128" spans="1:16" x14ac:dyDescent="0.35">
      <c r="A128" s="6">
        <v>45949</v>
      </c>
      <c r="B128" s="4">
        <v>366</v>
      </c>
      <c r="C128" s="14">
        <v>281</v>
      </c>
      <c r="D128" s="14">
        <v>358</v>
      </c>
      <c r="E128" s="4">
        <v>138</v>
      </c>
      <c r="F128" s="4">
        <v>257707.95300000001</v>
      </c>
      <c r="G128" s="4">
        <v>152260.75</v>
      </c>
      <c r="H128" s="4">
        <v>7.25</v>
      </c>
      <c r="J128" s="10">
        <v>102</v>
      </c>
      <c r="K128" s="10">
        <v>217886.57975022373</v>
      </c>
      <c r="L128" s="10">
        <v>33185.410249776265</v>
      </c>
      <c r="M128" s="10">
        <v>1.2081791056324969</v>
      </c>
      <c r="O128" s="10">
        <v>65.909090909090907</v>
      </c>
      <c r="P128" s="10">
        <v>239218.962</v>
      </c>
    </row>
    <row r="129" spans="1:16" x14ac:dyDescent="0.35">
      <c r="A129" s="7">
        <v>45950</v>
      </c>
      <c r="B129" s="5">
        <v>337</v>
      </c>
      <c r="C129" s="14">
        <v>354</v>
      </c>
      <c r="D129" s="14">
        <v>337</v>
      </c>
      <c r="E129" s="5">
        <v>139.30000000000001</v>
      </c>
      <c r="F129" s="5">
        <v>274752.033</v>
      </c>
      <c r="G129" s="5">
        <v>181258</v>
      </c>
      <c r="H129" s="5">
        <v>7.45</v>
      </c>
      <c r="J129" s="10">
        <v>103</v>
      </c>
      <c r="K129" s="10">
        <v>221049.15529918281</v>
      </c>
      <c r="L129" s="10">
        <v>36775.504700817197</v>
      </c>
      <c r="M129" s="10">
        <v>1.3388834443870274</v>
      </c>
      <c r="O129" s="10">
        <v>66.558441558441558</v>
      </c>
      <c r="P129" s="10">
        <v>240791.95199999999</v>
      </c>
    </row>
    <row r="130" spans="1:16" x14ac:dyDescent="0.35">
      <c r="A130" s="6">
        <v>45951</v>
      </c>
      <c r="B130" s="4">
        <v>423</v>
      </c>
      <c r="C130" s="14">
        <v>408</v>
      </c>
      <c r="D130" s="14">
        <v>406</v>
      </c>
      <c r="E130" s="4">
        <v>140.5</v>
      </c>
      <c r="F130" s="4">
        <v>267073.99</v>
      </c>
      <c r="G130" s="4">
        <v>209304.43</v>
      </c>
      <c r="H130" s="4">
        <v>7.98</v>
      </c>
      <c r="J130" s="10">
        <v>104</v>
      </c>
      <c r="K130" s="10">
        <v>189850.08154874321</v>
      </c>
      <c r="L130" s="10">
        <v>-10076.081548743212</v>
      </c>
      <c r="M130" s="10">
        <v>-0.36683925563110231</v>
      </c>
      <c r="O130" s="10">
        <v>67.20779220779221</v>
      </c>
      <c r="P130" s="10">
        <v>241515.37299999999</v>
      </c>
    </row>
    <row r="131" spans="1:16" x14ac:dyDescent="0.35">
      <c r="A131" s="7">
        <v>45952</v>
      </c>
      <c r="B131" s="5">
        <v>453</v>
      </c>
      <c r="C131" s="14">
        <v>451</v>
      </c>
      <c r="D131" s="14">
        <v>625</v>
      </c>
      <c r="E131" s="5">
        <v>141.6</v>
      </c>
      <c r="F131" s="5">
        <v>255278</v>
      </c>
      <c r="G131" s="5">
        <v>234096.99</v>
      </c>
      <c r="H131" s="5">
        <v>8.48</v>
      </c>
      <c r="J131" s="10">
        <v>105</v>
      </c>
      <c r="K131" s="10">
        <v>200167.60078993277</v>
      </c>
      <c r="L131" s="10">
        <v>-6117.9407899327634</v>
      </c>
      <c r="M131" s="10">
        <v>-0.2227354785208169</v>
      </c>
      <c r="O131" s="10">
        <v>67.857142857142861</v>
      </c>
      <c r="P131" s="10">
        <v>243070.99</v>
      </c>
    </row>
    <row r="132" spans="1:16" x14ac:dyDescent="0.35">
      <c r="A132" s="6">
        <v>45971</v>
      </c>
      <c r="B132" s="4">
        <v>335</v>
      </c>
      <c r="C132" s="14">
        <v>314</v>
      </c>
      <c r="D132" s="14">
        <v>327</v>
      </c>
      <c r="E132" s="4">
        <v>123.8</v>
      </c>
      <c r="F132" s="4">
        <v>187433</v>
      </c>
      <c r="G132" s="4">
        <v>69313.17</v>
      </c>
      <c r="H132" s="4">
        <v>11.08</v>
      </c>
      <c r="J132" s="10">
        <v>106</v>
      </c>
      <c r="K132" s="10">
        <v>204287.06865596207</v>
      </c>
      <c r="L132" s="10">
        <v>-12862.088655962056</v>
      </c>
      <c r="M132" s="10">
        <v>-0.46826923795618558</v>
      </c>
      <c r="O132" s="10">
        <v>68.506493506493513</v>
      </c>
      <c r="P132" s="10">
        <v>243263.962</v>
      </c>
    </row>
    <row r="133" spans="1:16" x14ac:dyDescent="0.35">
      <c r="A133" s="7">
        <v>45972</v>
      </c>
      <c r="B133" s="5">
        <v>591</v>
      </c>
      <c r="C133" s="14">
        <v>523</v>
      </c>
      <c r="D133" s="14">
        <v>553</v>
      </c>
      <c r="E133" s="5">
        <v>125.5</v>
      </c>
      <c r="F133" s="5">
        <v>198526.99</v>
      </c>
      <c r="G133" s="5">
        <v>80562.17</v>
      </c>
      <c r="H133" s="5">
        <v>12.92</v>
      </c>
      <c r="J133" s="10">
        <v>107</v>
      </c>
      <c r="K133" s="10">
        <v>206548.09770252983</v>
      </c>
      <c r="L133" s="10">
        <v>-9415.4477025298402</v>
      </c>
      <c r="M133" s="10">
        <v>-0.34278760150173959</v>
      </c>
      <c r="O133" s="10">
        <v>69.15584415584415</v>
      </c>
      <c r="P133" s="10">
        <v>243990.96299999999</v>
      </c>
    </row>
    <row r="134" spans="1:16" x14ac:dyDescent="0.35">
      <c r="A134" s="6">
        <v>45973</v>
      </c>
      <c r="B134" s="4">
        <v>445</v>
      </c>
      <c r="C134" s="14">
        <v>423</v>
      </c>
      <c r="D134" s="14">
        <v>453</v>
      </c>
      <c r="E134" s="4">
        <v>127.2</v>
      </c>
      <c r="F134" s="4">
        <v>199371.98</v>
      </c>
      <c r="G134" s="4">
        <v>90787.83</v>
      </c>
      <c r="H134" s="4">
        <v>11.38</v>
      </c>
      <c r="J134" s="10">
        <v>108</v>
      </c>
      <c r="K134" s="10">
        <v>204568.06141026644</v>
      </c>
      <c r="L134" s="10">
        <v>1441.2425897335634</v>
      </c>
      <c r="M134" s="10">
        <v>5.2471226661285585E-2</v>
      </c>
      <c r="O134" s="10">
        <v>69.805194805194802</v>
      </c>
      <c r="P134" s="10">
        <v>246430.61900000001</v>
      </c>
    </row>
    <row r="135" spans="1:16" x14ac:dyDescent="0.35">
      <c r="A135" s="7">
        <v>45974</v>
      </c>
      <c r="B135" s="5">
        <v>625</v>
      </c>
      <c r="C135" s="14">
        <v>603</v>
      </c>
      <c r="D135" s="14">
        <v>605</v>
      </c>
      <c r="E135" s="5">
        <v>128.80000000000001</v>
      </c>
      <c r="F135" s="5">
        <v>202022.31</v>
      </c>
      <c r="G135" s="5">
        <v>103559.17</v>
      </c>
      <c r="H135" s="5">
        <v>10.38</v>
      </c>
      <c r="J135" s="10">
        <v>109</v>
      </c>
      <c r="K135" s="10">
        <v>204161.10884578264</v>
      </c>
      <c r="L135" s="10">
        <v>8734.8741542173666</v>
      </c>
      <c r="M135" s="10">
        <v>0.31801000391507595</v>
      </c>
      <c r="O135" s="10">
        <v>70.454545454545453</v>
      </c>
      <c r="P135" s="10">
        <v>246475.29500000001</v>
      </c>
    </row>
    <row r="136" spans="1:16" x14ac:dyDescent="0.35">
      <c r="A136" s="6">
        <v>45975</v>
      </c>
      <c r="B136" s="4">
        <v>612</v>
      </c>
      <c r="C136" s="14">
        <v>621</v>
      </c>
      <c r="D136" s="14">
        <v>618</v>
      </c>
      <c r="E136" s="4">
        <v>130.5</v>
      </c>
      <c r="F136" s="4">
        <v>209098.63800000001</v>
      </c>
      <c r="G136" s="4">
        <v>109225.5</v>
      </c>
      <c r="H136" s="4">
        <v>10.220000000000001</v>
      </c>
      <c r="J136" s="10">
        <v>110</v>
      </c>
      <c r="K136" s="10">
        <v>207810.59491400435</v>
      </c>
      <c r="L136" s="10">
        <v>21422.055085995642</v>
      </c>
      <c r="M136" s="10">
        <v>0.77991138755871769</v>
      </c>
      <c r="O136" s="10">
        <v>71.103896103896105</v>
      </c>
      <c r="P136" s="10">
        <v>247103.95199999999</v>
      </c>
    </row>
    <row r="137" spans="1:16" x14ac:dyDescent="0.35">
      <c r="A137" s="7">
        <v>45976</v>
      </c>
      <c r="B137" s="5">
        <v>609</v>
      </c>
      <c r="C137" s="14">
        <v>591</v>
      </c>
      <c r="D137" s="14">
        <v>592</v>
      </c>
      <c r="E137" s="5">
        <v>132</v>
      </c>
      <c r="F137" s="5">
        <v>219246.98300000001</v>
      </c>
      <c r="G137" s="5">
        <v>139549</v>
      </c>
      <c r="H137" s="5">
        <v>9.5399999999999991</v>
      </c>
      <c r="J137" s="10">
        <v>111</v>
      </c>
      <c r="K137" s="10">
        <v>211375.76069006964</v>
      </c>
      <c r="L137" s="10">
        <v>26833.872309930361</v>
      </c>
      <c r="M137" s="10">
        <v>0.97693907063532126</v>
      </c>
      <c r="O137" s="10">
        <v>71.753246753246756</v>
      </c>
      <c r="P137" s="10">
        <v>247308.962</v>
      </c>
    </row>
    <row r="138" spans="1:16" x14ac:dyDescent="0.35">
      <c r="A138" s="6">
        <v>45977</v>
      </c>
      <c r="B138" s="4">
        <v>697</v>
      </c>
      <c r="C138" s="14">
        <v>674</v>
      </c>
      <c r="D138" s="14">
        <v>689</v>
      </c>
      <c r="E138" s="4">
        <v>133.6</v>
      </c>
      <c r="F138" s="4">
        <v>230495.31299999999</v>
      </c>
      <c r="G138" s="4">
        <v>166919.82999999999</v>
      </c>
      <c r="H138" s="4">
        <v>9.07</v>
      </c>
      <c r="J138" s="10">
        <v>112</v>
      </c>
      <c r="K138" s="10">
        <v>217543.69767517404</v>
      </c>
      <c r="L138" s="10">
        <v>36187.930324825953</v>
      </c>
      <c r="M138" s="10">
        <v>1.3174916617110106</v>
      </c>
      <c r="O138" s="10">
        <v>72.402597402597408</v>
      </c>
      <c r="P138" s="10">
        <v>248749.296</v>
      </c>
    </row>
    <row r="139" spans="1:16" x14ac:dyDescent="0.35">
      <c r="A139" s="7">
        <v>45978</v>
      </c>
      <c r="B139" s="5">
        <v>689</v>
      </c>
      <c r="C139" s="14">
        <v>664</v>
      </c>
      <c r="D139" s="14">
        <v>681</v>
      </c>
      <c r="E139" s="5">
        <v>135.19999999999999</v>
      </c>
      <c r="F139" s="5">
        <v>248749.296</v>
      </c>
      <c r="G139" s="5">
        <v>155068.70000000001</v>
      </c>
      <c r="H139" s="5">
        <v>8.58</v>
      </c>
      <c r="J139" s="10">
        <v>113</v>
      </c>
      <c r="K139" s="10">
        <v>215135.31910312606</v>
      </c>
      <c r="L139" s="10">
        <v>36933.966896873928</v>
      </c>
      <c r="M139" s="10">
        <v>1.3446525674102896</v>
      </c>
      <c r="O139" s="10">
        <v>73.051948051948045</v>
      </c>
      <c r="P139" s="10">
        <v>251071.99</v>
      </c>
    </row>
    <row r="140" spans="1:16" x14ac:dyDescent="0.35">
      <c r="A140" s="6">
        <v>45979</v>
      </c>
      <c r="B140" s="4">
        <v>691</v>
      </c>
      <c r="C140" s="14">
        <v>673</v>
      </c>
      <c r="D140" s="14">
        <v>702</v>
      </c>
      <c r="E140" s="4">
        <v>136.69999999999999</v>
      </c>
      <c r="F140" s="4">
        <v>265734.62800000003</v>
      </c>
      <c r="G140" s="4">
        <v>150712.04</v>
      </c>
      <c r="H140" s="4">
        <v>8.08</v>
      </c>
      <c r="J140" s="10">
        <v>114</v>
      </c>
      <c r="K140" s="10">
        <v>213754.54550011692</v>
      </c>
      <c r="L140" s="10">
        <v>44379.157499883091</v>
      </c>
      <c r="M140" s="10">
        <v>1.6157091448732042</v>
      </c>
      <c r="O140" s="10">
        <v>73.701298701298697</v>
      </c>
      <c r="P140" s="10">
        <v>251353.962</v>
      </c>
    </row>
    <row r="141" spans="1:16" x14ac:dyDescent="0.35">
      <c r="A141" s="7">
        <v>45980</v>
      </c>
      <c r="B141" s="5">
        <v>771</v>
      </c>
      <c r="C141" s="14">
        <v>531</v>
      </c>
      <c r="D141" s="14">
        <v>750</v>
      </c>
      <c r="E141" s="5">
        <v>138.1</v>
      </c>
      <c r="F141" s="5">
        <v>265288.95299999998</v>
      </c>
      <c r="G141" s="5">
        <v>152474.5</v>
      </c>
      <c r="H141" s="5">
        <v>7.17</v>
      </c>
      <c r="J141" s="10">
        <v>115</v>
      </c>
      <c r="K141" s="10">
        <v>217685.02432264306</v>
      </c>
      <c r="L141" s="10">
        <v>41387.96567735693</v>
      </c>
      <c r="M141" s="10">
        <v>1.5068090157588063</v>
      </c>
      <c r="O141" s="10">
        <v>74.350649350649348</v>
      </c>
      <c r="P141" s="10">
        <v>252069.28599999999</v>
      </c>
    </row>
    <row r="142" spans="1:16" x14ac:dyDescent="0.35">
      <c r="A142" s="6">
        <v>45981</v>
      </c>
      <c r="B142" s="4">
        <v>731</v>
      </c>
      <c r="C142" s="14">
        <v>717</v>
      </c>
      <c r="D142" s="14">
        <v>784</v>
      </c>
      <c r="E142" s="4">
        <v>139.4</v>
      </c>
      <c r="F142" s="4">
        <v>293751.033</v>
      </c>
      <c r="G142" s="4">
        <v>184408.67</v>
      </c>
      <c r="H142" s="4">
        <v>7.5</v>
      </c>
      <c r="J142" s="10">
        <v>116</v>
      </c>
      <c r="K142" s="10">
        <v>222375.20237203623</v>
      </c>
      <c r="L142" s="10">
        <v>34176.127627963753</v>
      </c>
      <c r="M142" s="10">
        <v>1.244248089770525</v>
      </c>
      <c r="O142" s="10">
        <v>75</v>
      </c>
      <c r="P142" s="10">
        <v>253415.95199999999</v>
      </c>
    </row>
    <row r="143" spans="1:16" x14ac:dyDescent="0.35">
      <c r="A143" s="7">
        <v>45982</v>
      </c>
      <c r="B143" s="5">
        <v>830</v>
      </c>
      <c r="C143" s="14">
        <v>843</v>
      </c>
      <c r="D143" s="14">
        <v>858</v>
      </c>
      <c r="E143" s="5">
        <v>140.6</v>
      </c>
      <c r="F143" s="5">
        <v>290810.32</v>
      </c>
      <c r="G143" s="5">
        <v>211370.47</v>
      </c>
      <c r="H143" s="5">
        <v>8.02</v>
      </c>
      <c r="J143" s="10">
        <v>117</v>
      </c>
      <c r="K143" s="10">
        <v>191395.23205515571</v>
      </c>
      <c r="L143" s="10">
        <v>-9265.2320551557059</v>
      </c>
      <c r="M143" s="10">
        <v>-0.33731871004822161</v>
      </c>
      <c r="O143" s="10">
        <v>75.649350649350652</v>
      </c>
      <c r="P143" s="10">
        <v>253507.62899999999</v>
      </c>
    </row>
    <row r="144" spans="1:16" x14ac:dyDescent="0.35">
      <c r="A144" s="6">
        <v>45983</v>
      </c>
      <c r="B144" s="4">
        <v>903</v>
      </c>
      <c r="C144" s="14">
        <v>895</v>
      </c>
      <c r="D144" s="14">
        <v>900</v>
      </c>
      <c r="E144" s="4">
        <v>141.69999999999999</v>
      </c>
      <c r="F144" s="4">
        <v>254004.67</v>
      </c>
      <c r="G144" s="4">
        <v>236163.04</v>
      </c>
      <c r="H144" s="4">
        <v>8.6</v>
      </c>
      <c r="J144" s="10">
        <v>118</v>
      </c>
      <c r="K144" s="10">
        <v>199614.95924060236</v>
      </c>
      <c r="L144" s="10">
        <v>-3890.9692406023678</v>
      </c>
      <c r="M144" s="10">
        <v>-0.14165826794882605</v>
      </c>
      <c r="O144" s="10">
        <v>76.298701298701303</v>
      </c>
      <c r="P144" s="10">
        <v>253657.962</v>
      </c>
    </row>
    <row r="145" spans="1:16" x14ac:dyDescent="0.35">
      <c r="A145" s="7">
        <v>46001</v>
      </c>
      <c r="B145" s="5">
        <v>458</v>
      </c>
      <c r="C145" s="14">
        <v>400</v>
      </c>
      <c r="D145" s="14">
        <v>423</v>
      </c>
      <c r="E145" s="5">
        <v>123.9</v>
      </c>
      <c r="F145" s="5">
        <v>192736</v>
      </c>
      <c r="G145" s="5">
        <v>70213.08</v>
      </c>
      <c r="H145" s="5">
        <v>11.17</v>
      </c>
      <c r="J145" s="10">
        <v>119</v>
      </c>
      <c r="K145" s="10">
        <v>206562.32462724097</v>
      </c>
      <c r="L145" s="10">
        <v>-12493.344627240964</v>
      </c>
      <c r="M145" s="10">
        <v>-0.45484439771843149</v>
      </c>
      <c r="O145" s="10">
        <v>76.948051948051955</v>
      </c>
      <c r="P145" s="10">
        <v>253731.628</v>
      </c>
    </row>
    <row r="146" spans="1:16" x14ac:dyDescent="0.35">
      <c r="A146" s="6">
        <v>46002</v>
      </c>
      <c r="B146" s="4">
        <v>548</v>
      </c>
      <c r="C146" s="14">
        <v>520</v>
      </c>
      <c r="D146" s="14">
        <v>531</v>
      </c>
      <c r="E146" s="4">
        <v>125.6</v>
      </c>
      <c r="F146" s="4">
        <v>201329.99</v>
      </c>
      <c r="G146" s="4">
        <v>81507.08</v>
      </c>
      <c r="H146" s="4">
        <v>13.08</v>
      </c>
      <c r="J146" s="10">
        <v>120</v>
      </c>
      <c r="K146" s="10">
        <v>207794.70744865961</v>
      </c>
      <c r="L146" s="10">
        <v>-9324.7274486595998</v>
      </c>
      <c r="M146" s="10">
        <v>-0.33948475502918651</v>
      </c>
      <c r="O146" s="10">
        <v>77.597402597402592</v>
      </c>
      <c r="P146" s="10">
        <v>254004.67</v>
      </c>
    </row>
    <row r="147" spans="1:16" x14ac:dyDescent="0.35">
      <c r="A147" s="7">
        <v>46003</v>
      </c>
      <c r="B147" s="5">
        <v>589</v>
      </c>
      <c r="C147" s="14">
        <v>569</v>
      </c>
      <c r="D147" s="14">
        <v>576</v>
      </c>
      <c r="E147" s="5">
        <v>127.3</v>
      </c>
      <c r="F147" s="5">
        <v>204674.98</v>
      </c>
      <c r="G147" s="5">
        <v>91621.42</v>
      </c>
      <c r="H147" s="5">
        <v>11.19</v>
      </c>
      <c r="J147" s="10">
        <v>121</v>
      </c>
      <c r="K147" s="10">
        <v>205168.36535563102</v>
      </c>
      <c r="L147" s="10">
        <v>1389.605644368974</v>
      </c>
      <c r="M147" s="10">
        <v>5.0591283698440813E-2</v>
      </c>
      <c r="O147" s="10">
        <v>78.246753246753244</v>
      </c>
      <c r="P147" s="10">
        <v>255278</v>
      </c>
    </row>
    <row r="148" spans="1:16" x14ac:dyDescent="0.35">
      <c r="A148" s="6">
        <v>46004</v>
      </c>
      <c r="B148" s="4">
        <v>600</v>
      </c>
      <c r="C148" s="14">
        <v>614</v>
      </c>
      <c r="D148" s="14">
        <v>610</v>
      </c>
      <c r="E148" s="4">
        <v>129</v>
      </c>
      <c r="F148" s="4">
        <v>205574.64</v>
      </c>
      <c r="G148" s="4">
        <v>104669.59</v>
      </c>
      <c r="H148" s="4">
        <v>10.31</v>
      </c>
      <c r="J148" s="10">
        <v>122</v>
      </c>
      <c r="K148" s="10">
        <v>207932.19238680621</v>
      </c>
      <c r="L148" s="10">
        <v>8516.7906131937925</v>
      </c>
      <c r="M148" s="10">
        <v>0.31007025040400382</v>
      </c>
      <c r="O148" s="10">
        <v>78.896103896103895</v>
      </c>
      <c r="P148" s="10">
        <v>255961.962</v>
      </c>
    </row>
    <row r="149" spans="1:16" x14ac:dyDescent="0.35">
      <c r="A149" s="7">
        <v>46005</v>
      </c>
      <c r="B149" s="5">
        <v>575</v>
      </c>
      <c r="C149" s="14">
        <v>530</v>
      </c>
      <c r="D149" s="14">
        <v>538</v>
      </c>
      <c r="E149" s="5">
        <v>130.6</v>
      </c>
      <c r="F149" s="5">
        <v>211639.30499999999</v>
      </c>
      <c r="G149" s="5">
        <v>109608.34</v>
      </c>
      <c r="H149" s="5">
        <v>10.220000000000001</v>
      </c>
      <c r="J149" s="10">
        <v>123</v>
      </c>
      <c r="K149" s="10">
        <v>211707.1176371522</v>
      </c>
      <c r="L149" s="10">
        <v>20719.865362847806</v>
      </c>
      <c r="M149" s="10">
        <v>0.75434681127921233</v>
      </c>
      <c r="O149" s="10">
        <v>79.545454545454547</v>
      </c>
      <c r="P149" s="10">
        <v>256551.33</v>
      </c>
    </row>
    <row r="150" spans="1:16" x14ac:dyDescent="0.35">
      <c r="A150" s="6">
        <v>46006</v>
      </c>
      <c r="B150" s="4">
        <v>529</v>
      </c>
      <c r="C150" s="14">
        <v>522</v>
      </c>
      <c r="D150" s="14">
        <v>524</v>
      </c>
      <c r="E150" s="4">
        <v>132.1</v>
      </c>
      <c r="F150" s="4">
        <v>222044.98300000001</v>
      </c>
      <c r="G150" s="4">
        <v>142466.5</v>
      </c>
      <c r="H150" s="4">
        <v>9.4700000000000006</v>
      </c>
      <c r="J150" s="10">
        <v>124</v>
      </c>
      <c r="K150" s="10">
        <v>215698.96515236847</v>
      </c>
      <c r="L150" s="10">
        <v>28291.997847631515</v>
      </c>
      <c r="M150" s="10">
        <v>1.030024953702009</v>
      </c>
      <c r="O150" s="10">
        <v>80.194805194805198</v>
      </c>
      <c r="P150" s="10">
        <v>257707.95300000001</v>
      </c>
    </row>
    <row r="151" spans="1:16" x14ac:dyDescent="0.35">
      <c r="A151" s="7">
        <v>46007</v>
      </c>
      <c r="B151" s="5">
        <v>644</v>
      </c>
      <c r="C151" s="14">
        <v>614</v>
      </c>
      <c r="D151" s="14">
        <v>634</v>
      </c>
      <c r="E151" s="5">
        <v>133.69999999999999</v>
      </c>
      <c r="F151" s="5">
        <v>228563.64300000001</v>
      </c>
      <c r="G151" s="5">
        <v>169073.41</v>
      </c>
      <c r="H151" s="5">
        <v>9.0299999999999994</v>
      </c>
      <c r="J151" s="10">
        <v>125</v>
      </c>
      <c r="K151" s="10">
        <v>217886.57975022373</v>
      </c>
      <c r="L151" s="10">
        <v>43101.381249776285</v>
      </c>
      <c r="M151" s="10">
        <v>1.5691892267696486</v>
      </c>
      <c r="O151" s="10">
        <v>80.84415584415585</v>
      </c>
      <c r="P151" s="10">
        <v>257824.66</v>
      </c>
    </row>
    <row r="152" spans="1:16" x14ac:dyDescent="0.35">
      <c r="A152" s="6">
        <v>46008</v>
      </c>
      <c r="B152" s="4">
        <v>704</v>
      </c>
      <c r="C152" s="14">
        <v>681</v>
      </c>
      <c r="D152" s="14">
        <v>710</v>
      </c>
      <c r="E152" s="4">
        <v>135.30000000000001</v>
      </c>
      <c r="F152" s="4">
        <v>253507.62899999999</v>
      </c>
      <c r="G152" s="4">
        <v>153452.87</v>
      </c>
      <c r="H152" s="4">
        <v>8.5399999999999991</v>
      </c>
      <c r="J152" s="10">
        <v>126</v>
      </c>
      <c r="K152" s="10">
        <v>220280.11211303729</v>
      </c>
      <c r="L152" s="10">
        <v>37427.840886962716</v>
      </c>
      <c r="M152" s="10">
        <v>1.3626330061377163</v>
      </c>
      <c r="O152" s="10">
        <v>81.493506493506487</v>
      </c>
      <c r="P152" s="10">
        <v>258133.70300000001</v>
      </c>
    </row>
    <row r="153" spans="1:16" x14ac:dyDescent="0.35">
      <c r="A153" s="7">
        <v>46009</v>
      </c>
      <c r="B153" s="5">
        <v>736</v>
      </c>
      <c r="C153" s="14">
        <v>721</v>
      </c>
      <c r="D153" s="14">
        <v>752</v>
      </c>
      <c r="E153" s="5">
        <v>136.80000000000001</v>
      </c>
      <c r="F153" s="5">
        <v>270481.29499999998</v>
      </c>
      <c r="G153" s="5">
        <v>150587.04</v>
      </c>
      <c r="H153" s="5">
        <v>8.0399999999999991</v>
      </c>
      <c r="J153" s="10">
        <v>127</v>
      </c>
      <c r="K153" s="10">
        <v>208645.88975827271</v>
      </c>
      <c r="L153" s="10">
        <v>66106.143241727288</v>
      </c>
      <c r="M153" s="10">
        <v>2.4067221232903782</v>
      </c>
      <c r="O153" s="10">
        <v>82.142857142857139</v>
      </c>
      <c r="P153" s="10">
        <v>258265.962</v>
      </c>
    </row>
    <row r="154" spans="1:16" x14ac:dyDescent="0.35">
      <c r="A154" s="6">
        <v>46010</v>
      </c>
      <c r="B154" s="4">
        <v>691</v>
      </c>
      <c r="C154" s="14">
        <v>537</v>
      </c>
      <c r="D154" s="14">
        <v>686</v>
      </c>
      <c r="E154" s="4">
        <v>138.19999999999999</v>
      </c>
      <c r="F154" s="4">
        <v>272869.95299999998</v>
      </c>
      <c r="G154" s="4">
        <v>152688.25</v>
      </c>
      <c r="H154" s="4">
        <v>7.08</v>
      </c>
      <c r="J154" s="10">
        <v>128</v>
      </c>
      <c r="K154" s="10">
        <v>222110.09708307654</v>
      </c>
      <c r="L154" s="10">
        <v>44963.892916923447</v>
      </c>
      <c r="M154" s="10">
        <v>1.6369975697525145</v>
      </c>
      <c r="O154" s="10">
        <v>82.79220779220779</v>
      </c>
      <c r="P154" s="10">
        <v>259072.99</v>
      </c>
    </row>
    <row r="155" spans="1:16" x14ac:dyDescent="0.35">
      <c r="A155" s="7">
        <v>46011</v>
      </c>
      <c r="B155" s="5">
        <v>691</v>
      </c>
      <c r="C155" s="14">
        <v>665</v>
      </c>
      <c r="D155" s="14">
        <v>685</v>
      </c>
      <c r="E155" s="5">
        <v>139.5</v>
      </c>
      <c r="F155" s="5">
        <v>312750.033</v>
      </c>
      <c r="G155" s="5">
        <v>187559.34</v>
      </c>
      <c r="H155" s="5">
        <v>7.55</v>
      </c>
      <c r="J155" s="10">
        <v>129</v>
      </c>
      <c r="K155" s="10">
        <v>224927.60938829713</v>
      </c>
      <c r="L155" s="10">
        <v>30350.390611702867</v>
      </c>
      <c r="M155" s="10">
        <v>1.1049647272355574</v>
      </c>
      <c r="O155" s="10">
        <v>83.441558441558442</v>
      </c>
      <c r="P155" s="10">
        <v>259097.99</v>
      </c>
    </row>
    <row r="156" spans="1:16" x14ac:dyDescent="0.35">
      <c r="A156" s="8">
        <v>46012</v>
      </c>
      <c r="B156" s="9">
        <v>894</v>
      </c>
      <c r="C156" s="16">
        <v>858</v>
      </c>
      <c r="D156" s="16">
        <v>885</v>
      </c>
      <c r="E156" s="9">
        <v>140.69999999999999</v>
      </c>
      <c r="F156" s="9">
        <v>314546.65000000002</v>
      </c>
      <c r="G156" s="9">
        <v>213436.52</v>
      </c>
      <c r="H156" s="9">
        <v>8.06</v>
      </c>
      <c r="J156" s="10">
        <v>130</v>
      </c>
      <c r="K156" s="10">
        <v>211346.16692806897</v>
      </c>
      <c r="L156" s="10">
        <v>-23913.166928068968</v>
      </c>
      <c r="M156" s="10">
        <v>-0.87060513685196206</v>
      </c>
      <c r="O156" s="10">
        <v>84.090909090909093</v>
      </c>
      <c r="P156" s="10">
        <v>259727.95199999999</v>
      </c>
    </row>
    <row r="157" spans="1:16" x14ac:dyDescent="0.35">
      <c r="J157" s="10">
        <v>131</v>
      </c>
      <c r="K157" s="10">
        <v>247672.48568244142</v>
      </c>
      <c r="L157" s="10">
        <v>-49145.495682441426</v>
      </c>
      <c r="M157" s="10">
        <v>-1.7892369138295687</v>
      </c>
      <c r="O157" s="10">
        <v>84.740259740259745</v>
      </c>
      <c r="P157" s="10">
        <v>260371.32</v>
      </c>
    </row>
    <row r="158" spans="1:16" x14ac:dyDescent="0.35">
      <c r="J158" s="10">
        <v>132</v>
      </c>
      <c r="K158" s="10">
        <v>225462.18230359402</v>
      </c>
      <c r="L158" s="10">
        <v>-26090.202303594007</v>
      </c>
      <c r="M158" s="10">
        <v>-0.94986432434234069</v>
      </c>
      <c r="O158" s="10">
        <v>85.389610389610397</v>
      </c>
      <c r="P158" s="10">
        <v>260693.83300000001</v>
      </c>
    </row>
    <row r="159" spans="1:16" x14ac:dyDescent="0.35">
      <c r="J159" s="10">
        <v>133</v>
      </c>
      <c r="K159" s="10">
        <v>248433.84544994216</v>
      </c>
      <c r="L159" s="10">
        <v>-46411.535449942166</v>
      </c>
      <c r="M159" s="10">
        <v>-1.6897017987391041</v>
      </c>
      <c r="O159" s="10">
        <v>86.038961038961034</v>
      </c>
      <c r="P159" s="10">
        <v>260987.96100000001</v>
      </c>
    </row>
    <row r="160" spans="1:16" x14ac:dyDescent="0.35">
      <c r="J160" s="10">
        <v>134</v>
      </c>
      <c r="K160" s="10">
        <v>244363.70052058063</v>
      </c>
      <c r="L160" s="10">
        <v>-35265.062520580628</v>
      </c>
      <c r="M160" s="10">
        <v>-1.2838928726661272</v>
      </c>
      <c r="O160" s="10">
        <v>86.688311688311686</v>
      </c>
      <c r="P160" s="10">
        <v>261644.65</v>
      </c>
    </row>
    <row r="161" spans="10:16" x14ac:dyDescent="0.35">
      <c r="J161" s="10">
        <v>135</v>
      </c>
      <c r="K161" s="10">
        <v>246080.81269257318</v>
      </c>
      <c r="L161" s="10">
        <v>-26833.82969257317</v>
      </c>
      <c r="M161" s="10">
        <v>-0.97693751906792736</v>
      </c>
      <c r="O161" s="10">
        <v>87.337662337662337</v>
      </c>
      <c r="P161" s="10">
        <v>262917.98</v>
      </c>
    </row>
    <row r="162" spans="10:16" x14ac:dyDescent="0.35">
      <c r="J162" s="10">
        <v>136</v>
      </c>
      <c r="K162" s="10">
        <v>257700.28749457147</v>
      </c>
      <c r="L162" s="10">
        <v>-27204.974494571477</v>
      </c>
      <c r="M162" s="10">
        <v>-0.99044976410462959</v>
      </c>
      <c r="O162" s="10">
        <v>87.987012987012989</v>
      </c>
      <c r="P162" s="10">
        <v>264894.62199999997</v>
      </c>
    </row>
    <row r="163" spans="10:16" x14ac:dyDescent="0.35">
      <c r="J163" s="10">
        <v>137</v>
      </c>
      <c r="K163" s="10">
        <v>256834.87826024718</v>
      </c>
      <c r="L163" s="10">
        <v>-8085.5822602471744</v>
      </c>
      <c r="M163" s="10">
        <v>-0.29437127551464504</v>
      </c>
      <c r="O163" s="10">
        <v>88.63636363636364</v>
      </c>
      <c r="P163" s="10">
        <v>265288.95299999998</v>
      </c>
    </row>
    <row r="164" spans="10:16" x14ac:dyDescent="0.35">
      <c r="J164" s="10">
        <v>138</v>
      </c>
      <c r="K164" s="10">
        <v>256545.68145924289</v>
      </c>
      <c r="L164" s="10">
        <v>9188.9465407571406</v>
      </c>
      <c r="M164" s="10">
        <v>0.33454138821115337</v>
      </c>
      <c r="O164" s="10">
        <v>89.285714285714292</v>
      </c>
      <c r="P164" s="10">
        <v>265734.62800000003</v>
      </c>
    </row>
    <row r="165" spans="10:16" x14ac:dyDescent="0.35">
      <c r="J165" s="10">
        <v>139</v>
      </c>
      <c r="K165" s="10">
        <v>284021.75603628019</v>
      </c>
      <c r="L165" s="10">
        <v>-18732.803036280209</v>
      </c>
      <c r="M165" s="10">
        <v>-0.68200396041556655</v>
      </c>
      <c r="O165" s="10">
        <v>89.935064935064929</v>
      </c>
      <c r="P165" s="10">
        <v>267073.99</v>
      </c>
    </row>
    <row r="166" spans="10:16" x14ac:dyDescent="0.35">
      <c r="J166" s="10">
        <v>140</v>
      </c>
      <c r="K166" s="10">
        <v>261339.38834740443</v>
      </c>
      <c r="L166" s="10">
        <v>32411.644652595569</v>
      </c>
      <c r="M166" s="10">
        <v>1.1800086710910926</v>
      </c>
      <c r="O166" s="10">
        <v>90.584415584415581</v>
      </c>
      <c r="P166" s="10">
        <v>270061.29200000002</v>
      </c>
    </row>
    <row r="167" spans="10:16" x14ac:dyDescent="0.35">
      <c r="J167" s="10">
        <v>141</v>
      </c>
      <c r="K167" s="10">
        <v>271873.82985346427</v>
      </c>
      <c r="L167" s="10">
        <v>18936.49014653574</v>
      </c>
      <c r="M167" s="10">
        <v>0.68941958399367353</v>
      </c>
      <c r="O167" s="10">
        <v>91.233766233766232</v>
      </c>
      <c r="P167" s="10">
        <v>270481.29499999998</v>
      </c>
    </row>
    <row r="168" spans="10:16" x14ac:dyDescent="0.35">
      <c r="J168" s="10">
        <v>142</v>
      </c>
      <c r="K168" s="10">
        <v>282823.42797070782</v>
      </c>
      <c r="L168" s="10">
        <v>-28818.757970707811</v>
      </c>
      <c r="M168" s="10">
        <v>-1.0492026757669479</v>
      </c>
      <c r="O168" s="10">
        <v>91.883116883116884</v>
      </c>
      <c r="P168" s="10">
        <v>272869.95299999998</v>
      </c>
    </row>
    <row r="169" spans="10:16" x14ac:dyDescent="0.35">
      <c r="J169" s="10">
        <v>143</v>
      </c>
      <c r="K169" s="10">
        <v>229921.21116340579</v>
      </c>
      <c r="L169" s="10">
        <v>-37185.211163405795</v>
      </c>
      <c r="M169" s="10">
        <v>-1.3537996013311919</v>
      </c>
      <c r="O169" s="10">
        <v>92.532467532467535</v>
      </c>
      <c r="P169" s="10">
        <v>274752.033</v>
      </c>
    </row>
    <row r="170" spans="10:16" x14ac:dyDescent="0.35">
      <c r="J170" s="10">
        <v>144</v>
      </c>
      <c r="K170" s="10">
        <v>239073.73915387806</v>
      </c>
      <c r="L170" s="10">
        <v>-37743.749153878074</v>
      </c>
      <c r="M170" s="10">
        <v>-1.37413425817923</v>
      </c>
      <c r="O170" s="10">
        <v>93.181818181818187</v>
      </c>
      <c r="P170" s="10">
        <v>275227.962</v>
      </c>
    </row>
    <row r="171" spans="10:16" x14ac:dyDescent="0.35">
      <c r="J171" s="10">
        <v>145</v>
      </c>
      <c r="K171" s="10">
        <v>243683.95924849244</v>
      </c>
      <c r="L171" s="10">
        <v>-39008.979248492426</v>
      </c>
      <c r="M171" s="10">
        <v>-1.4201974092032796</v>
      </c>
      <c r="O171" s="10">
        <v>93.831168831168839</v>
      </c>
      <c r="P171" s="10">
        <v>280450.95299999998</v>
      </c>
    </row>
    <row r="172" spans="10:16" x14ac:dyDescent="0.35">
      <c r="J172" s="10">
        <v>146</v>
      </c>
      <c r="K172" s="10">
        <v>242443.3723803738</v>
      </c>
      <c r="L172" s="10">
        <v>-36868.732380373782</v>
      </c>
      <c r="M172" s="10">
        <v>-1.3422775785459573</v>
      </c>
      <c r="O172" s="10">
        <v>94.480519480519476</v>
      </c>
      <c r="P172" s="10">
        <v>288039.67999999999</v>
      </c>
    </row>
    <row r="173" spans="10:16" x14ac:dyDescent="0.35">
      <c r="J173" s="10">
        <v>147</v>
      </c>
      <c r="K173" s="10">
        <v>243841.69398936129</v>
      </c>
      <c r="L173" s="10">
        <v>-32202.388989361294</v>
      </c>
      <c r="M173" s="10">
        <v>-1.1723903135613218</v>
      </c>
      <c r="O173" s="10">
        <v>95.129870129870127</v>
      </c>
      <c r="P173" s="10">
        <v>290810.32</v>
      </c>
    </row>
    <row r="174" spans="10:16" x14ac:dyDescent="0.35">
      <c r="J174" s="10">
        <v>148</v>
      </c>
      <c r="K174" s="10">
        <v>235015.63998053889</v>
      </c>
      <c r="L174" s="10">
        <v>-12970.656980538886</v>
      </c>
      <c r="M174" s="10">
        <v>-0.47222187799588911</v>
      </c>
      <c r="O174" s="10">
        <v>95.779220779220779</v>
      </c>
      <c r="P174" s="10">
        <v>293751.033</v>
      </c>
    </row>
    <row r="175" spans="10:16" x14ac:dyDescent="0.35">
      <c r="J175" s="10">
        <v>149</v>
      </c>
      <c r="K175" s="10">
        <v>251480.84640411046</v>
      </c>
      <c r="L175" s="10">
        <v>-22917.203404110449</v>
      </c>
      <c r="M175" s="10">
        <v>-0.83434515662083308</v>
      </c>
      <c r="O175" s="10">
        <v>96.428571428571431</v>
      </c>
      <c r="P175" s="10">
        <v>296221.43300000002</v>
      </c>
    </row>
    <row r="176" spans="10:16" x14ac:dyDescent="0.35">
      <c r="J176" s="10">
        <v>150</v>
      </c>
      <c r="K176" s="10">
        <v>258593.62995026281</v>
      </c>
      <c r="L176" s="10">
        <v>-5086.0009502628236</v>
      </c>
      <c r="M176" s="10">
        <v>-0.18516571086765443</v>
      </c>
      <c r="O176" s="10">
        <v>97.077922077922082</v>
      </c>
      <c r="P176" s="10">
        <v>312750.033</v>
      </c>
    </row>
    <row r="177" spans="10:16" x14ac:dyDescent="0.35">
      <c r="J177" s="10">
        <v>151</v>
      </c>
      <c r="K177" s="10">
        <v>262055.26688755973</v>
      </c>
      <c r="L177" s="10">
        <v>8426.0281124402536</v>
      </c>
      <c r="M177" s="10">
        <v>0.30676586585187615</v>
      </c>
      <c r="O177" s="10">
        <v>97.727272727272734</v>
      </c>
      <c r="P177" s="10">
        <v>313161.38</v>
      </c>
    </row>
    <row r="178" spans="10:16" x14ac:dyDescent="0.35">
      <c r="J178" s="10">
        <v>152</v>
      </c>
      <c r="K178" s="10">
        <v>267123.32436749124</v>
      </c>
      <c r="L178" s="10">
        <v>5746.6286325087422</v>
      </c>
      <c r="M178" s="10">
        <v>0.20921714058584887</v>
      </c>
      <c r="O178" s="10">
        <v>98.376623376623371</v>
      </c>
      <c r="P178" s="10">
        <v>314546.65000000002</v>
      </c>
    </row>
    <row r="179" spans="10:16" x14ac:dyDescent="0.35">
      <c r="J179" s="10">
        <v>153</v>
      </c>
      <c r="K179" s="10">
        <v>257167.8957479634</v>
      </c>
      <c r="L179" s="10">
        <v>55582.137252036599</v>
      </c>
      <c r="M179" s="10">
        <v>2.0235753112246373</v>
      </c>
      <c r="O179" s="10">
        <v>99.025974025974023</v>
      </c>
      <c r="P179" s="10">
        <v>331749.033</v>
      </c>
    </row>
    <row r="180" spans="10:16" ht="15" thickBot="1" x14ac:dyDescent="0.4">
      <c r="J180" s="11">
        <v>154</v>
      </c>
      <c r="K180" s="11">
        <v>283852.59482391219</v>
      </c>
      <c r="L180" s="11">
        <v>30694.05517608783</v>
      </c>
      <c r="M180" s="11">
        <v>1.1174765010214187</v>
      </c>
      <c r="O180" s="11">
        <v>99.675324675324674</v>
      </c>
      <c r="P180" s="11">
        <v>338282.98</v>
      </c>
    </row>
  </sheetData>
  <sortState xmlns:xlrd2="http://schemas.microsoft.com/office/spreadsheetml/2017/richdata2" ref="P27:P180">
    <sortCondition ref="P27"/>
  </sortState>
  <phoneticPr fontId="20"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B804E-8A40-4C0E-B11E-815EDB4FE2B5}">
  <dimension ref="A1:Q156"/>
  <sheetViews>
    <sheetView zoomScale="77" zoomScaleNormal="77" workbookViewId="0">
      <selection activeCell="K2" sqref="K2"/>
    </sheetView>
  </sheetViews>
  <sheetFormatPr defaultRowHeight="14.5" x14ac:dyDescent="0.35"/>
  <cols>
    <col min="3" max="4" width="12.6328125" customWidth="1"/>
    <col min="5" max="5" width="12" customWidth="1"/>
    <col min="7" max="7" width="14.7265625" customWidth="1"/>
    <col min="8" max="8" width="16.90625" customWidth="1"/>
    <col min="9" max="9" width="36.453125" customWidth="1"/>
    <col min="10" max="10" width="28" customWidth="1"/>
    <col min="11" max="11" width="21.26953125" customWidth="1"/>
    <col min="12" max="12" width="14.26953125" customWidth="1"/>
    <col min="13" max="13" width="12.36328125" customWidth="1"/>
    <col min="14" max="14" width="13.90625" customWidth="1"/>
    <col min="15" max="15" width="13.36328125" customWidth="1"/>
    <col min="16" max="16" width="20.1796875" customWidth="1"/>
    <col min="17" max="17" width="14.90625" customWidth="1"/>
    <col min="18" max="18" width="12.7265625" customWidth="1"/>
  </cols>
  <sheetData>
    <row r="1" spans="1:14" x14ac:dyDescent="0.35">
      <c r="A1" t="s">
        <v>53</v>
      </c>
      <c r="B1" t="s">
        <v>20</v>
      </c>
      <c r="C1" t="s">
        <v>0</v>
      </c>
      <c r="D1" t="s">
        <v>1</v>
      </c>
      <c r="E1" t="s">
        <v>2</v>
      </c>
      <c r="F1" t="s">
        <v>3</v>
      </c>
      <c r="G1" t="s">
        <v>21</v>
      </c>
      <c r="H1" t="s">
        <v>4</v>
      </c>
    </row>
    <row r="2" spans="1:14" x14ac:dyDescent="0.35">
      <c r="A2" s="6">
        <v>45667</v>
      </c>
      <c r="B2" s="14">
        <v>322</v>
      </c>
      <c r="C2" s="4">
        <v>347</v>
      </c>
      <c r="D2" s="18">
        <v>346</v>
      </c>
      <c r="E2" s="4">
        <v>122.4</v>
      </c>
      <c r="F2" s="4">
        <v>182277</v>
      </c>
      <c r="G2" s="4">
        <v>60314</v>
      </c>
      <c r="H2" s="4">
        <v>10.25</v>
      </c>
      <c r="I2" t="s">
        <v>59</v>
      </c>
    </row>
    <row r="3" spans="1:14" ht="15" thickBot="1" x14ac:dyDescent="0.4">
      <c r="A3" s="7">
        <v>45668</v>
      </c>
      <c r="B3" s="14">
        <v>374</v>
      </c>
      <c r="C3" s="5">
        <v>391</v>
      </c>
      <c r="D3" s="4">
        <v>354</v>
      </c>
      <c r="E3" s="5">
        <v>124.1</v>
      </c>
      <c r="F3" s="5">
        <v>198039</v>
      </c>
      <c r="G3" s="5">
        <v>71113</v>
      </c>
      <c r="H3" s="5">
        <v>11.25</v>
      </c>
    </row>
    <row r="4" spans="1:14" x14ac:dyDescent="0.35">
      <c r="A4" s="6">
        <v>45669</v>
      </c>
      <c r="B4" s="14">
        <v>565</v>
      </c>
      <c r="C4" s="4">
        <v>560</v>
      </c>
      <c r="D4" s="4">
        <v>570</v>
      </c>
      <c r="E4" s="4">
        <v>125.8</v>
      </c>
      <c r="F4" s="4">
        <v>204132.99</v>
      </c>
      <c r="G4" s="4">
        <v>82452</v>
      </c>
      <c r="H4" s="4">
        <v>13.25</v>
      </c>
      <c r="I4" s="13" t="s">
        <v>23</v>
      </c>
      <c r="J4" s="13"/>
    </row>
    <row r="5" spans="1:14" x14ac:dyDescent="0.35">
      <c r="A5" s="7">
        <v>45670</v>
      </c>
      <c r="B5" s="14">
        <v>580</v>
      </c>
      <c r="C5" s="5">
        <v>591</v>
      </c>
      <c r="D5" s="4">
        <v>580</v>
      </c>
      <c r="E5" s="5">
        <v>127.4</v>
      </c>
      <c r="F5" s="5">
        <v>209977.98</v>
      </c>
      <c r="G5" s="5">
        <v>92455</v>
      </c>
      <c r="H5" s="5">
        <v>11</v>
      </c>
      <c r="I5" s="10" t="s">
        <v>24</v>
      </c>
      <c r="J5" s="10">
        <v>0.46204974492146406</v>
      </c>
    </row>
    <row r="6" spans="1:14" x14ac:dyDescent="0.35">
      <c r="A6" s="6">
        <v>45671</v>
      </c>
      <c r="B6" s="14">
        <v>584</v>
      </c>
      <c r="C6" s="4">
        <v>592</v>
      </c>
      <c r="D6" s="4">
        <v>600</v>
      </c>
      <c r="E6" s="4">
        <v>129.1</v>
      </c>
      <c r="F6" s="4">
        <v>209126.97</v>
      </c>
      <c r="G6" s="4">
        <v>105780</v>
      </c>
      <c r="H6" s="4">
        <v>10.25</v>
      </c>
      <c r="I6" s="10" t="s">
        <v>25</v>
      </c>
      <c r="J6" s="10">
        <v>0.21348996678198998</v>
      </c>
      <c r="K6" t="s">
        <v>62</v>
      </c>
    </row>
    <row r="7" spans="1:14" x14ac:dyDescent="0.35">
      <c r="A7" s="7">
        <v>45672</v>
      </c>
      <c r="B7" s="14">
        <v>503</v>
      </c>
      <c r="C7" s="5">
        <v>531</v>
      </c>
      <c r="D7" s="4">
        <v>531</v>
      </c>
      <c r="E7" s="5">
        <v>130.69999999999999</v>
      </c>
      <c r="F7" s="5">
        <v>214179.97200000001</v>
      </c>
      <c r="G7" s="5">
        <v>110374</v>
      </c>
      <c r="H7" s="5">
        <v>10.220000000000001</v>
      </c>
      <c r="I7" s="10" t="s">
        <v>26</v>
      </c>
      <c r="J7" s="10">
        <v>0.20307261534863882</v>
      </c>
    </row>
    <row r="8" spans="1:14" x14ac:dyDescent="0.35">
      <c r="A8" s="6">
        <v>45673</v>
      </c>
      <c r="B8" s="14">
        <v>574</v>
      </c>
      <c r="C8" s="4">
        <v>583</v>
      </c>
      <c r="D8" s="4">
        <v>575</v>
      </c>
      <c r="E8" s="4">
        <v>132.30000000000001</v>
      </c>
      <c r="F8" s="4">
        <v>224842.98300000001</v>
      </c>
      <c r="G8" s="4">
        <v>145384</v>
      </c>
      <c r="H8" s="4">
        <v>9.4</v>
      </c>
      <c r="I8" s="10" t="s">
        <v>27</v>
      </c>
      <c r="J8" s="10">
        <v>41660.901984208831</v>
      </c>
    </row>
    <row r="9" spans="1:14" ht="15" thickBot="1" x14ac:dyDescent="0.4">
      <c r="A9" s="7">
        <v>45674</v>
      </c>
      <c r="B9" s="14">
        <v>700</v>
      </c>
      <c r="C9" s="5">
        <v>721</v>
      </c>
      <c r="D9" s="4">
        <v>708</v>
      </c>
      <c r="E9" s="5">
        <v>133.9</v>
      </c>
      <c r="F9" s="5">
        <v>226631.973</v>
      </c>
      <c r="G9" s="5">
        <v>171227</v>
      </c>
      <c r="H9" s="5">
        <v>9</v>
      </c>
      <c r="I9" s="11" t="s">
        <v>28</v>
      </c>
      <c r="J9" s="11">
        <v>154</v>
      </c>
    </row>
    <row r="10" spans="1:14" x14ac:dyDescent="0.35">
      <c r="A10" s="6">
        <v>45675</v>
      </c>
      <c r="B10" s="14">
        <v>734</v>
      </c>
      <c r="C10" s="4">
        <v>755</v>
      </c>
      <c r="D10" s="4">
        <v>783</v>
      </c>
      <c r="E10" s="4">
        <v>135.4</v>
      </c>
      <c r="F10" s="4">
        <v>258265.962</v>
      </c>
      <c r="G10" s="4">
        <v>151837.04</v>
      </c>
      <c r="H10" s="4">
        <v>8.5</v>
      </c>
    </row>
    <row r="11" spans="1:14" ht="15" thickBot="1" x14ac:dyDescent="0.4">
      <c r="A11" s="7">
        <v>45676</v>
      </c>
      <c r="B11" s="14">
        <v>771</v>
      </c>
      <c r="C11" s="5">
        <v>791</v>
      </c>
      <c r="D11" s="4">
        <v>764</v>
      </c>
      <c r="E11" s="5">
        <v>136.9</v>
      </c>
      <c r="F11" s="5">
        <v>275227.962</v>
      </c>
      <c r="G11" s="5">
        <v>150337</v>
      </c>
      <c r="H11" s="5">
        <v>8</v>
      </c>
      <c r="I11" t="s">
        <v>29</v>
      </c>
    </row>
    <row r="12" spans="1:14" x14ac:dyDescent="0.35">
      <c r="A12" s="6">
        <v>45677</v>
      </c>
      <c r="B12" s="14">
        <v>514</v>
      </c>
      <c r="C12" s="4">
        <v>675</v>
      </c>
      <c r="D12" s="4">
        <v>686</v>
      </c>
      <c r="E12" s="4">
        <v>138.30000000000001</v>
      </c>
      <c r="F12" s="4">
        <v>280450.95299999998</v>
      </c>
      <c r="G12" s="4">
        <v>152902</v>
      </c>
      <c r="H12" s="4">
        <v>7</v>
      </c>
      <c r="I12" s="12"/>
      <c r="J12" s="12" t="s">
        <v>34</v>
      </c>
      <c r="K12" s="12" t="s">
        <v>35</v>
      </c>
      <c r="L12" s="12" t="s">
        <v>36</v>
      </c>
      <c r="M12" s="12" t="s">
        <v>37</v>
      </c>
      <c r="N12" s="12" t="s">
        <v>38</v>
      </c>
    </row>
    <row r="13" spans="1:14" x14ac:dyDescent="0.35">
      <c r="A13" s="7">
        <v>45678</v>
      </c>
      <c r="B13" s="14">
        <v>809</v>
      </c>
      <c r="C13" s="5">
        <v>821</v>
      </c>
      <c r="D13" s="4">
        <v>810</v>
      </c>
      <c r="E13" s="5">
        <v>139.6</v>
      </c>
      <c r="F13" s="5">
        <v>331749.033</v>
      </c>
      <c r="G13" s="5">
        <v>190710</v>
      </c>
      <c r="H13" s="5">
        <v>7.6</v>
      </c>
      <c r="I13" s="10" t="s">
        <v>30</v>
      </c>
      <c r="J13" s="10">
        <v>2</v>
      </c>
      <c r="K13" s="10">
        <v>71138955888.616516</v>
      </c>
      <c r="L13" s="10">
        <v>35569477944.308258</v>
      </c>
      <c r="M13" s="10">
        <v>20.493689605066251</v>
      </c>
      <c r="N13" s="10">
        <v>1.3355869540515705E-8</v>
      </c>
    </row>
    <row r="14" spans="1:14" x14ac:dyDescent="0.35">
      <c r="A14" s="6">
        <v>45679</v>
      </c>
      <c r="B14" s="14">
        <v>823</v>
      </c>
      <c r="C14" s="4">
        <v>825</v>
      </c>
      <c r="D14" s="4">
        <v>835</v>
      </c>
      <c r="E14" s="4">
        <v>140.80000000000001</v>
      </c>
      <c r="F14" s="4">
        <v>338282.98</v>
      </c>
      <c r="G14" s="4">
        <v>215502.57</v>
      </c>
      <c r="H14" s="4">
        <v>8.1</v>
      </c>
      <c r="I14" s="10" t="s">
        <v>31</v>
      </c>
      <c r="J14" s="10">
        <v>151</v>
      </c>
      <c r="K14" s="10">
        <v>262080243874.8161</v>
      </c>
      <c r="L14" s="10">
        <v>1735630754.1378551</v>
      </c>
      <c r="M14" s="10"/>
      <c r="N14" s="10"/>
    </row>
    <row r="15" spans="1:14" ht="15" thickBot="1" x14ac:dyDescent="0.4">
      <c r="A15" s="7">
        <v>45698</v>
      </c>
      <c r="B15" s="14">
        <v>285</v>
      </c>
      <c r="C15" s="5">
        <v>306</v>
      </c>
      <c r="D15" s="4">
        <v>338</v>
      </c>
      <c r="E15" s="5">
        <v>122.5</v>
      </c>
      <c r="F15" s="5">
        <v>181018</v>
      </c>
      <c r="G15" s="5">
        <v>61213.919999999998</v>
      </c>
      <c r="H15" s="5">
        <v>10.33</v>
      </c>
      <c r="I15" s="11" t="s">
        <v>32</v>
      </c>
      <c r="J15" s="11">
        <v>153</v>
      </c>
      <c r="K15" s="11">
        <v>333219199763.43262</v>
      </c>
      <c r="L15" s="11"/>
      <c r="M15" s="11"/>
      <c r="N15" s="11"/>
    </row>
    <row r="16" spans="1:14" ht="15" thickBot="1" x14ac:dyDescent="0.4">
      <c r="A16" s="6">
        <v>45699</v>
      </c>
      <c r="B16" s="14">
        <v>344</v>
      </c>
      <c r="C16" s="4">
        <v>397</v>
      </c>
      <c r="D16" s="4">
        <v>378</v>
      </c>
      <c r="E16" s="4">
        <v>124.2</v>
      </c>
      <c r="F16" s="4">
        <v>194285</v>
      </c>
      <c r="G16" s="4">
        <v>72057.919999999998</v>
      </c>
      <c r="H16" s="4">
        <v>11.42</v>
      </c>
    </row>
    <row r="17" spans="1:17" x14ac:dyDescent="0.35">
      <c r="A17" s="7">
        <v>45700</v>
      </c>
      <c r="B17" s="14">
        <v>523</v>
      </c>
      <c r="C17" s="5">
        <v>538</v>
      </c>
      <c r="D17" s="4">
        <v>532</v>
      </c>
      <c r="E17" s="5">
        <v>125.9</v>
      </c>
      <c r="F17" s="5">
        <v>199377.32</v>
      </c>
      <c r="G17" s="5">
        <v>83285.58</v>
      </c>
      <c r="H17" s="5">
        <v>13.06</v>
      </c>
      <c r="I17" s="12"/>
      <c r="J17" s="12" t="s">
        <v>39</v>
      </c>
      <c r="K17" s="12" t="s">
        <v>27</v>
      </c>
      <c r="L17" s="12" t="s">
        <v>40</v>
      </c>
      <c r="M17" s="12" t="s">
        <v>41</v>
      </c>
      <c r="N17" s="12" t="s">
        <v>42</v>
      </c>
      <c r="O17" s="12" t="s">
        <v>43</v>
      </c>
      <c r="P17" s="12" t="s">
        <v>44</v>
      </c>
      <c r="Q17" s="12" t="s">
        <v>45</v>
      </c>
    </row>
    <row r="18" spans="1:17" x14ac:dyDescent="0.35">
      <c r="A18" s="6">
        <v>45701</v>
      </c>
      <c r="B18" s="14">
        <v>591</v>
      </c>
      <c r="C18" s="4">
        <v>593</v>
      </c>
      <c r="D18" s="4">
        <v>591</v>
      </c>
      <c r="E18" s="4">
        <v>127.6</v>
      </c>
      <c r="F18" s="4">
        <v>206223.98</v>
      </c>
      <c r="G18" s="4">
        <v>93565.42</v>
      </c>
      <c r="H18" s="4">
        <v>10.94</v>
      </c>
      <c r="I18" s="10" t="s">
        <v>33</v>
      </c>
      <c r="J18" s="10">
        <v>79038.961657035121</v>
      </c>
      <c r="K18" s="10">
        <v>9721.8926588739869</v>
      </c>
      <c r="L18" s="10">
        <v>8.1299973606363185</v>
      </c>
      <c r="M18" s="10">
        <v>1.442529102448588E-13</v>
      </c>
      <c r="N18" s="10">
        <v>59830.456604158397</v>
      </c>
      <c r="O18" s="10">
        <v>98247.466709911852</v>
      </c>
      <c r="P18" s="10">
        <v>59830.456604158397</v>
      </c>
      <c r="Q18" s="10">
        <v>98247.466709911852</v>
      </c>
    </row>
    <row r="19" spans="1:17" x14ac:dyDescent="0.35">
      <c r="A19" s="7">
        <v>45702</v>
      </c>
      <c r="B19" s="14">
        <v>590</v>
      </c>
      <c r="C19" s="5">
        <v>611</v>
      </c>
      <c r="D19" s="4">
        <v>600</v>
      </c>
      <c r="E19" s="5">
        <v>129.19999999999999</v>
      </c>
      <c r="F19" s="5">
        <v>209277.64</v>
      </c>
      <c r="G19" s="5">
        <v>106162.84</v>
      </c>
      <c r="H19" s="5">
        <v>10.25</v>
      </c>
      <c r="I19" s="10" t="s">
        <v>20</v>
      </c>
      <c r="J19" s="10">
        <v>64.158678964990045</v>
      </c>
      <c r="K19" s="10">
        <v>86.967581284192633</v>
      </c>
      <c r="L19" s="10">
        <v>0.73773097995369485</v>
      </c>
      <c r="M19" s="10">
        <v>0.46182284016903086</v>
      </c>
      <c r="N19" s="10">
        <v>-107.67177454336671</v>
      </c>
      <c r="O19" s="10">
        <v>235.98913247334679</v>
      </c>
      <c r="P19" s="10">
        <v>-107.67177454336671</v>
      </c>
      <c r="Q19" s="10">
        <v>235.98913247334679</v>
      </c>
    </row>
    <row r="20" spans="1:17" ht="15" thickBot="1" x14ac:dyDescent="0.4">
      <c r="A20" s="6">
        <v>45703</v>
      </c>
      <c r="B20" s="14">
        <v>651</v>
      </c>
      <c r="C20" s="4">
        <v>663</v>
      </c>
      <c r="D20" s="4">
        <v>384.6</v>
      </c>
      <c r="E20" s="4">
        <v>130.9</v>
      </c>
      <c r="F20" s="4">
        <v>215537.639</v>
      </c>
      <c r="G20" s="4">
        <v>113291.5</v>
      </c>
      <c r="H20" s="4">
        <v>10.15</v>
      </c>
      <c r="I20" s="11" t="s">
        <v>0</v>
      </c>
      <c r="J20" s="11">
        <v>66.554994313617755</v>
      </c>
      <c r="K20" s="11">
        <v>85.926531149915121</v>
      </c>
      <c r="L20" s="11">
        <v>0.77455697818756297</v>
      </c>
      <c r="M20" s="11">
        <v>0.43981262414063604</v>
      </c>
      <c r="N20" s="11">
        <v>-103.21855345979296</v>
      </c>
      <c r="O20" s="11">
        <v>236.32854208702847</v>
      </c>
      <c r="P20" s="11">
        <v>-103.21855345979296</v>
      </c>
      <c r="Q20" s="11">
        <v>236.32854208702847</v>
      </c>
    </row>
    <row r="21" spans="1:17" x14ac:dyDescent="0.35">
      <c r="A21" s="7">
        <v>45704</v>
      </c>
      <c r="B21" s="14">
        <v>512</v>
      </c>
      <c r="C21" s="5">
        <v>520</v>
      </c>
      <c r="D21" s="4">
        <v>512</v>
      </c>
      <c r="E21" s="5">
        <v>132.4</v>
      </c>
      <c r="F21" s="5">
        <v>228075.65</v>
      </c>
      <c r="G21" s="5">
        <v>147537.57999999999</v>
      </c>
      <c r="H21" s="5">
        <v>9.3699999999999992</v>
      </c>
    </row>
    <row r="22" spans="1:17" x14ac:dyDescent="0.35">
      <c r="A22" s="6">
        <v>45705</v>
      </c>
      <c r="B22" s="14">
        <v>700</v>
      </c>
      <c r="C22" s="4">
        <v>705</v>
      </c>
      <c r="D22" s="4">
        <v>702</v>
      </c>
      <c r="E22" s="4">
        <v>134</v>
      </c>
      <c r="F22" s="4">
        <v>229554.973</v>
      </c>
      <c r="G22" s="4">
        <v>169611.17</v>
      </c>
      <c r="H22" s="4">
        <v>8.9600000000000009</v>
      </c>
    </row>
    <row r="23" spans="1:17" x14ac:dyDescent="0.35">
      <c r="A23" s="7">
        <v>45706</v>
      </c>
      <c r="B23" s="14">
        <v>689</v>
      </c>
      <c r="C23" s="5">
        <v>701</v>
      </c>
      <c r="D23" s="4">
        <v>722</v>
      </c>
      <c r="E23" s="5">
        <v>135.5</v>
      </c>
      <c r="F23" s="5">
        <v>255961.962</v>
      </c>
      <c r="G23" s="5">
        <v>151712.04</v>
      </c>
      <c r="H23" s="5">
        <v>8.4600000000000009</v>
      </c>
    </row>
    <row r="24" spans="1:17" x14ac:dyDescent="0.35">
      <c r="A24" s="6">
        <v>45707</v>
      </c>
      <c r="B24" s="14">
        <v>786</v>
      </c>
      <c r="C24" s="4">
        <v>777</v>
      </c>
      <c r="D24" s="4">
        <v>787</v>
      </c>
      <c r="E24" s="4">
        <v>137</v>
      </c>
      <c r="F24" s="4">
        <v>270061.29200000002</v>
      </c>
      <c r="G24" s="4">
        <v>150550.75</v>
      </c>
      <c r="H24" s="4">
        <v>7.92</v>
      </c>
    </row>
    <row r="25" spans="1:17" x14ac:dyDescent="0.35">
      <c r="A25" s="7">
        <v>45708</v>
      </c>
      <c r="B25" s="14">
        <v>578</v>
      </c>
      <c r="C25" s="5">
        <v>700</v>
      </c>
      <c r="D25" s="4">
        <v>684</v>
      </c>
      <c r="E25" s="5">
        <v>138.4</v>
      </c>
      <c r="F25" s="5">
        <v>230779.65299999999</v>
      </c>
      <c r="G25" s="5">
        <v>156052.67000000001</v>
      </c>
      <c r="H25" s="5">
        <v>7.05</v>
      </c>
    </row>
    <row r="26" spans="1:17" x14ac:dyDescent="0.35">
      <c r="A26" s="6">
        <v>45709</v>
      </c>
      <c r="B26" s="14">
        <v>829</v>
      </c>
      <c r="C26" s="4">
        <v>811</v>
      </c>
      <c r="D26" s="4">
        <v>802</v>
      </c>
      <c r="E26" s="4">
        <v>139.69999999999999</v>
      </c>
      <c r="F26" s="4">
        <v>296221.43300000002</v>
      </c>
      <c r="G26" s="4">
        <v>192776.05</v>
      </c>
      <c r="H26" s="4">
        <v>7.64</v>
      </c>
    </row>
    <row r="27" spans="1:17" x14ac:dyDescent="0.35">
      <c r="A27" s="7">
        <v>45710</v>
      </c>
      <c r="B27" s="14">
        <v>836</v>
      </c>
      <c r="C27" s="5">
        <v>848</v>
      </c>
      <c r="D27" s="4">
        <v>853</v>
      </c>
      <c r="E27" s="5">
        <v>140.80000000000001</v>
      </c>
      <c r="F27" s="5">
        <v>313161.38</v>
      </c>
      <c r="G27" s="5">
        <v>217568.62</v>
      </c>
      <c r="H27" s="5">
        <v>8.14</v>
      </c>
    </row>
    <row r="28" spans="1:17" x14ac:dyDescent="0.35">
      <c r="A28" s="6">
        <v>45726</v>
      </c>
      <c r="B28" s="14">
        <v>245</v>
      </c>
      <c r="C28" s="4">
        <v>236</v>
      </c>
      <c r="D28" s="4">
        <v>276</v>
      </c>
      <c r="E28" s="4">
        <v>122.6</v>
      </c>
      <c r="F28" s="4">
        <v>179759</v>
      </c>
      <c r="G28" s="4">
        <v>62113.83</v>
      </c>
      <c r="H28" s="4">
        <v>10.42</v>
      </c>
    </row>
    <row r="29" spans="1:17" x14ac:dyDescent="0.35">
      <c r="A29" s="7">
        <v>45727</v>
      </c>
      <c r="B29" s="14">
        <v>300</v>
      </c>
      <c r="C29" s="5">
        <v>306</v>
      </c>
      <c r="D29" s="4">
        <v>325</v>
      </c>
      <c r="E29" s="5">
        <v>124.3</v>
      </c>
      <c r="F29" s="5">
        <v>190531</v>
      </c>
      <c r="G29" s="5">
        <v>73002.83</v>
      </c>
      <c r="H29" s="5">
        <v>11.58</v>
      </c>
    </row>
    <row r="30" spans="1:17" x14ac:dyDescent="0.35">
      <c r="A30" s="6">
        <v>45728</v>
      </c>
      <c r="B30" s="14">
        <v>403</v>
      </c>
      <c r="C30" s="4">
        <v>347</v>
      </c>
      <c r="D30" s="4">
        <v>386</v>
      </c>
      <c r="E30" s="4">
        <v>126</v>
      </c>
      <c r="F30" s="4">
        <v>194621.65</v>
      </c>
      <c r="G30" s="4">
        <v>84119.17</v>
      </c>
      <c r="H30" s="4">
        <v>12.88</v>
      </c>
    </row>
    <row r="31" spans="1:17" x14ac:dyDescent="0.35">
      <c r="A31" s="7">
        <v>45729</v>
      </c>
      <c r="B31" s="14">
        <v>404</v>
      </c>
      <c r="C31" s="5">
        <v>400</v>
      </c>
      <c r="D31" s="4">
        <v>403</v>
      </c>
      <c r="E31" s="5">
        <v>127.7</v>
      </c>
      <c r="F31" s="5">
        <v>202469.98</v>
      </c>
      <c r="G31" s="5">
        <v>94675.83</v>
      </c>
      <c r="H31" s="5">
        <v>10.88</v>
      </c>
    </row>
    <row r="32" spans="1:17" x14ac:dyDescent="0.35">
      <c r="A32" s="6">
        <v>45730</v>
      </c>
      <c r="B32" s="14">
        <v>412</v>
      </c>
      <c r="C32" s="4">
        <v>437</v>
      </c>
      <c r="D32" s="4">
        <v>422</v>
      </c>
      <c r="E32" s="4">
        <v>129.4</v>
      </c>
      <c r="F32" s="4">
        <v>209428.31</v>
      </c>
      <c r="G32" s="4">
        <v>106545.67</v>
      </c>
      <c r="H32" s="4">
        <v>10.24</v>
      </c>
    </row>
    <row r="33" spans="1:8" x14ac:dyDescent="0.35">
      <c r="A33" s="7">
        <v>45731</v>
      </c>
      <c r="B33" s="14">
        <v>380</v>
      </c>
      <c r="C33" s="5">
        <v>400</v>
      </c>
      <c r="D33" s="4">
        <v>374.6</v>
      </c>
      <c r="E33" s="5">
        <v>131</v>
      </c>
      <c r="F33" s="5">
        <v>216895.30600000001</v>
      </c>
      <c r="G33" s="5">
        <v>116209</v>
      </c>
      <c r="H33" s="5">
        <v>10.08</v>
      </c>
    </row>
    <row r="34" spans="1:8" x14ac:dyDescent="0.35">
      <c r="A34" s="6">
        <v>45732</v>
      </c>
      <c r="B34" s="14">
        <v>322</v>
      </c>
      <c r="C34" s="4">
        <v>381</v>
      </c>
      <c r="D34" s="4">
        <v>372</v>
      </c>
      <c r="E34" s="4">
        <v>132.5</v>
      </c>
      <c r="F34" s="4">
        <v>231308.31700000001</v>
      </c>
      <c r="G34" s="4">
        <v>149691.17000000001</v>
      </c>
      <c r="H34" s="4">
        <v>9.33</v>
      </c>
    </row>
    <row r="35" spans="1:8" x14ac:dyDescent="0.35">
      <c r="A35" s="7">
        <v>45733</v>
      </c>
      <c r="B35" s="14">
        <v>350</v>
      </c>
      <c r="C35" s="5">
        <v>380</v>
      </c>
      <c r="D35" s="4">
        <v>354</v>
      </c>
      <c r="E35" s="5">
        <v>134.1</v>
      </c>
      <c r="F35" s="5">
        <v>232477.973</v>
      </c>
      <c r="G35" s="5">
        <v>167995.34</v>
      </c>
      <c r="H35" s="5">
        <v>8.92</v>
      </c>
    </row>
    <row r="36" spans="1:8" x14ac:dyDescent="0.35">
      <c r="A36" s="6">
        <v>45734</v>
      </c>
      <c r="B36" s="14">
        <v>421</v>
      </c>
      <c r="C36" s="4">
        <v>429</v>
      </c>
      <c r="D36" s="4">
        <v>449</v>
      </c>
      <c r="E36" s="4">
        <v>135.69999999999999</v>
      </c>
      <c r="F36" s="4">
        <v>253657.962</v>
      </c>
      <c r="G36" s="4">
        <v>151587.04</v>
      </c>
      <c r="H36" s="4">
        <v>8.42</v>
      </c>
    </row>
    <row r="37" spans="1:8" x14ac:dyDescent="0.35">
      <c r="A37" s="7">
        <v>45735</v>
      </c>
      <c r="B37" s="14">
        <v>434</v>
      </c>
      <c r="C37" s="5">
        <v>445</v>
      </c>
      <c r="D37" s="4">
        <v>343</v>
      </c>
      <c r="E37" s="5">
        <v>137.1</v>
      </c>
      <c r="F37" s="5">
        <v>264894.62199999997</v>
      </c>
      <c r="G37" s="5">
        <v>150764.5</v>
      </c>
      <c r="H37" s="5">
        <v>7.83</v>
      </c>
    </row>
    <row r="38" spans="1:8" x14ac:dyDescent="0.35">
      <c r="A38" s="6">
        <v>45736</v>
      </c>
      <c r="B38" s="14">
        <v>500</v>
      </c>
      <c r="C38" s="4">
        <v>419</v>
      </c>
      <c r="D38" s="4">
        <v>486</v>
      </c>
      <c r="E38" s="4">
        <v>138.5</v>
      </c>
      <c r="F38" s="4">
        <v>181108.353</v>
      </c>
      <c r="G38" s="4">
        <v>159203.32999999999</v>
      </c>
      <c r="H38" s="4">
        <v>7.1</v>
      </c>
    </row>
    <row r="39" spans="1:8" x14ac:dyDescent="0.35">
      <c r="A39" s="7">
        <v>45737</v>
      </c>
      <c r="B39" s="14">
        <v>511</v>
      </c>
      <c r="C39" s="5">
        <v>467</v>
      </c>
      <c r="D39" s="4">
        <v>524</v>
      </c>
      <c r="E39" s="5">
        <v>139.80000000000001</v>
      </c>
      <c r="F39" s="5">
        <v>260693.83300000001</v>
      </c>
      <c r="G39" s="5">
        <v>194842.1</v>
      </c>
      <c r="H39" s="5">
        <v>7.68</v>
      </c>
    </row>
    <row r="40" spans="1:8" x14ac:dyDescent="0.35">
      <c r="A40" s="6">
        <v>45738</v>
      </c>
      <c r="B40" s="14">
        <v>514</v>
      </c>
      <c r="C40" s="4">
        <v>531</v>
      </c>
      <c r="D40" s="4">
        <v>625</v>
      </c>
      <c r="E40" s="4">
        <v>140.9</v>
      </c>
      <c r="F40" s="4">
        <v>288039.67999999999</v>
      </c>
      <c r="G40" s="4">
        <v>219634.66</v>
      </c>
      <c r="H40" s="4">
        <v>8.18</v>
      </c>
    </row>
    <row r="41" spans="1:8" x14ac:dyDescent="0.35">
      <c r="A41" s="7">
        <v>45757</v>
      </c>
      <c r="B41" s="14">
        <v>212</v>
      </c>
      <c r="C41" s="5">
        <v>234</v>
      </c>
      <c r="D41" s="4">
        <v>245</v>
      </c>
      <c r="E41" s="5">
        <v>122.8</v>
      </c>
      <c r="F41" s="5">
        <v>178500</v>
      </c>
      <c r="G41" s="5">
        <v>63013.75</v>
      </c>
      <c r="H41" s="5">
        <v>10.5</v>
      </c>
    </row>
    <row r="42" spans="1:8" x14ac:dyDescent="0.35">
      <c r="A42" s="6">
        <v>45758</v>
      </c>
      <c r="B42" s="14">
        <v>323</v>
      </c>
      <c r="C42" s="4">
        <v>313</v>
      </c>
      <c r="D42" s="4">
        <v>336</v>
      </c>
      <c r="E42" s="4">
        <v>124.5</v>
      </c>
      <c r="F42" s="4">
        <v>186777</v>
      </c>
      <c r="G42" s="4">
        <v>73947.75</v>
      </c>
      <c r="H42" s="4">
        <v>11.75</v>
      </c>
    </row>
    <row r="43" spans="1:8" x14ac:dyDescent="0.35">
      <c r="A43" s="7">
        <v>45759</v>
      </c>
      <c r="B43" s="14">
        <v>334</v>
      </c>
      <c r="C43" s="5">
        <v>366</v>
      </c>
      <c r="D43" s="4">
        <v>353</v>
      </c>
      <c r="E43" s="5">
        <v>126.2</v>
      </c>
      <c r="F43" s="5">
        <v>189865.98</v>
      </c>
      <c r="G43" s="5">
        <v>84952.75</v>
      </c>
      <c r="H43" s="5">
        <v>12.69</v>
      </c>
    </row>
    <row r="44" spans="1:8" x14ac:dyDescent="0.35">
      <c r="A44" s="6">
        <v>45760</v>
      </c>
      <c r="B44" s="14">
        <v>414</v>
      </c>
      <c r="C44" s="4">
        <v>425</v>
      </c>
      <c r="D44" s="4">
        <v>419</v>
      </c>
      <c r="E44" s="4">
        <v>127.9</v>
      </c>
      <c r="F44" s="4">
        <v>198715.98</v>
      </c>
      <c r="G44" s="4">
        <v>95786.25</v>
      </c>
      <c r="H44" s="4">
        <v>10.81</v>
      </c>
    </row>
    <row r="45" spans="1:8" x14ac:dyDescent="0.35">
      <c r="A45" s="7">
        <v>45761</v>
      </c>
      <c r="B45" s="14">
        <v>403</v>
      </c>
      <c r="C45" s="5">
        <v>413</v>
      </c>
      <c r="D45" s="4">
        <v>408</v>
      </c>
      <c r="E45" s="5">
        <v>129.5</v>
      </c>
      <c r="F45" s="5">
        <v>209578.98</v>
      </c>
      <c r="G45" s="5">
        <v>106545.67</v>
      </c>
      <c r="H45" s="5">
        <v>10.24</v>
      </c>
    </row>
    <row r="46" spans="1:8" x14ac:dyDescent="0.35">
      <c r="A46" s="6">
        <v>45762</v>
      </c>
      <c r="B46" s="14">
        <v>380</v>
      </c>
      <c r="C46" s="4">
        <v>392</v>
      </c>
      <c r="D46" s="4">
        <v>364.7</v>
      </c>
      <c r="E46" s="4">
        <v>131.1</v>
      </c>
      <c r="F46" s="4">
        <v>218252.973</v>
      </c>
      <c r="G46" s="4">
        <v>119126.5</v>
      </c>
      <c r="H46" s="4">
        <v>10.01</v>
      </c>
    </row>
    <row r="47" spans="1:8" x14ac:dyDescent="0.35">
      <c r="A47" s="7">
        <v>45763</v>
      </c>
      <c r="B47" s="14">
        <v>356</v>
      </c>
      <c r="C47" s="5">
        <v>399</v>
      </c>
      <c r="D47" s="4">
        <v>369</v>
      </c>
      <c r="E47" s="5">
        <v>132.69999999999999</v>
      </c>
      <c r="F47" s="5">
        <v>234540.984</v>
      </c>
      <c r="G47" s="5">
        <v>151844.75</v>
      </c>
      <c r="H47" s="5">
        <v>9.3000000000000007</v>
      </c>
    </row>
    <row r="48" spans="1:8" x14ac:dyDescent="0.35">
      <c r="A48" s="6">
        <v>45764</v>
      </c>
      <c r="B48" s="14">
        <v>348</v>
      </c>
      <c r="C48" s="4">
        <v>370</v>
      </c>
      <c r="D48" s="4">
        <v>345</v>
      </c>
      <c r="E48" s="4">
        <v>134.19999999999999</v>
      </c>
      <c r="F48" s="4">
        <v>235400.973</v>
      </c>
      <c r="G48" s="4">
        <v>166379.51</v>
      </c>
      <c r="H48" s="4">
        <v>8.8699999999999992</v>
      </c>
    </row>
    <row r="49" spans="1:8" x14ac:dyDescent="0.35">
      <c r="A49" s="7">
        <v>45765</v>
      </c>
      <c r="B49" s="14">
        <v>414</v>
      </c>
      <c r="C49" s="5">
        <v>422</v>
      </c>
      <c r="D49" s="4">
        <v>448</v>
      </c>
      <c r="E49" s="5">
        <v>135.80000000000001</v>
      </c>
      <c r="F49" s="5">
        <v>251353.962</v>
      </c>
      <c r="G49" s="5">
        <v>151587.04</v>
      </c>
      <c r="H49" s="5">
        <v>8.3699999999999992</v>
      </c>
    </row>
    <row r="50" spans="1:8" x14ac:dyDescent="0.35">
      <c r="A50" s="6">
        <v>45766</v>
      </c>
      <c r="B50" s="14">
        <v>311</v>
      </c>
      <c r="C50" s="4">
        <v>464</v>
      </c>
      <c r="D50" s="4">
        <v>453</v>
      </c>
      <c r="E50" s="4">
        <v>137.30000000000001</v>
      </c>
      <c r="F50" s="4">
        <v>259727.95199999999</v>
      </c>
      <c r="G50" s="4">
        <v>150978.25</v>
      </c>
      <c r="H50" s="4">
        <v>7.75</v>
      </c>
    </row>
    <row r="51" spans="1:8" x14ac:dyDescent="0.35">
      <c r="A51" s="7">
        <v>45767</v>
      </c>
      <c r="B51" s="14">
        <v>414</v>
      </c>
      <c r="C51" s="5">
        <v>399</v>
      </c>
      <c r="D51" s="4">
        <v>408</v>
      </c>
      <c r="E51" s="5">
        <v>138.6</v>
      </c>
      <c r="F51" s="5">
        <v>131437.05300000001</v>
      </c>
      <c r="G51" s="5">
        <v>162354</v>
      </c>
      <c r="H51" s="5">
        <v>7.15</v>
      </c>
    </row>
    <row r="52" spans="1:8" x14ac:dyDescent="0.35">
      <c r="A52" s="6">
        <v>45768</v>
      </c>
      <c r="B52" s="14">
        <v>423</v>
      </c>
      <c r="C52" s="4">
        <v>440</v>
      </c>
      <c r="D52" s="4">
        <v>435</v>
      </c>
      <c r="E52" s="4">
        <v>139.9</v>
      </c>
      <c r="F52" s="4">
        <v>225166</v>
      </c>
      <c r="G52" s="4">
        <v>196908.15</v>
      </c>
      <c r="H52" s="4">
        <v>7.73</v>
      </c>
    </row>
    <row r="53" spans="1:8" x14ac:dyDescent="0.35">
      <c r="A53" s="7">
        <v>45769</v>
      </c>
      <c r="B53" s="14">
        <v>477</v>
      </c>
      <c r="C53" s="5">
        <v>487</v>
      </c>
      <c r="D53" s="4">
        <v>495</v>
      </c>
      <c r="E53" s="5">
        <v>141</v>
      </c>
      <c r="F53" s="5">
        <v>262917.98</v>
      </c>
      <c r="G53" s="5">
        <v>221700.71</v>
      </c>
      <c r="H53" s="5">
        <v>8.23</v>
      </c>
    </row>
    <row r="54" spans="1:8" x14ac:dyDescent="0.35">
      <c r="A54" s="6">
        <v>45787</v>
      </c>
      <c r="B54" s="14">
        <v>289</v>
      </c>
      <c r="C54" s="4">
        <v>296</v>
      </c>
      <c r="D54" s="4">
        <v>312</v>
      </c>
      <c r="E54" s="4">
        <v>122.9</v>
      </c>
      <c r="F54" s="4">
        <v>177354</v>
      </c>
      <c r="G54" s="4">
        <v>63913.67</v>
      </c>
      <c r="H54" s="4">
        <v>10.58</v>
      </c>
    </row>
    <row r="55" spans="1:8" x14ac:dyDescent="0.35">
      <c r="A55" s="7">
        <v>45788</v>
      </c>
      <c r="B55" s="14">
        <v>292</v>
      </c>
      <c r="C55" s="5">
        <v>315</v>
      </c>
      <c r="D55" s="4">
        <v>284</v>
      </c>
      <c r="E55" s="5">
        <v>124.6</v>
      </c>
      <c r="F55" s="5">
        <v>188085</v>
      </c>
      <c r="G55" s="5">
        <v>74892.67</v>
      </c>
      <c r="H55" s="5">
        <v>11.92</v>
      </c>
    </row>
    <row r="56" spans="1:8" x14ac:dyDescent="0.35">
      <c r="A56" s="6">
        <v>45789</v>
      </c>
      <c r="B56" s="14">
        <v>350</v>
      </c>
      <c r="C56" s="4">
        <v>386</v>
      </c>
      <c r="D56" s="4">
        <v>349</v>
      </c>
      <c r="E56" s="4">
        <v>126.3</v>
      </c>
      <c r="F56" s="4">
        <v>188622.98</v>
      </c>
      <c r="G56" s="4">
        <v>85786.33</v>
      </c>
      <c r="H56" s="4">
        <v>12.5</v>
      </c>
    </row>
    <row r="57" spans="1:8" x14ac:dyDescent="0.35">
      <c r="A57" s="7">
        <v>45790</v>
      </c>
      <c r="B57" s="14">
        <v>375</v>
      </c>
      <c r="C57" s="5">
        <v>401</v>
      </c>
      <c r="D57" s="4">
        <v>392</v>
      </c>
      <c r="E57" s="5">
        <v>128</v>
      </c>
      <c r="F57" s="5">
        <v>197296.65</v>
      </c>
      <c r="G57" s="5">
        <v>96896.67</v>
      </c>
      <c r="H57" s="5">
        <v>10.75</v>
      </c>
    </row>
    <row r="58" spans="1:8" x14ac:dyDescent="0.35">
      <c r="A58" s="6">
        <v>45791</v>
      </c>
      <c r="B58" s="14">
        <v>397</v>
      </c>
      <c r="C58" s="4">
        <v>411</v>
      </c>
      <c r="D58" s="4">
        <v>398</v>
      </c>
      <c r="E58" s="4">
        <v>129.69999999999999</v>
      </c>
      <c r="F58" s="4">
        <v>208023.31</v>
      </c>
      <c r="G58" s="4">
        <v>106928.5</v>
      </c>
      <c r="H58" s="4">
        <v>10.24</v>
      </c>
    </row>
    <row r="59" spans="1:8" x14ac:dyDescent="0.35">
      <c r="A59" s="7">
        <v>45792</v>
      </c>
      <c r="B59" s="14">
        <v>375</v>
      </c>
      <c r="C59" s="5">
        <v>382</v>
      </c>
      <c r="D59" s="4">
        <v>354.8</v>
      </c>
      <c r="E59" s="5">
        <v>131.19999999999999</v>
      </c>
      <c r="F59" s="5">
        <v>214098.64300000001</v>
      </c>
      <c r="G59" s="5">
        <v>122044</v>
      </c>
      <c r="H59" s="5">
        <v>9.94</v>
      </c>
    </row>
    <row r="60" spans="1:8" x14ac:dyDescent="0.35">
      <c r="A60" s="6">
        <v>45793</v>
      </c>
      <c r="B60" s="14">
        <v>391</v>
      </c>
      <c r="C60" s="4">
        <v>403</v>
      </c>
      <c r="D60" s="4">
        <v>403</v>
      </c>
      <c r="E60" s="4">
        <v>132.80000000000001</v>
      </c>
      <c r="F60" s="4">
        <v>230641.984</v>
      </c>
      <c r="G60" s="4">
        <v>153998.32999999999</v>
      </c>
      <c r="H60" s="4">
        <v>9.27</v>
      </c>
    </row>
    <row r="61" spans="1:8" x14ac:dyDescent="0.35">
      <c r="A61" s="7">
        <v>45794</v>
      </c>
      <c r="B61" s="14">
        <v>334</v>
      </c>
      <c r="C61" s="5">
        <v>361</v>
      </c>
      <c r="D61" s="4">
        <v>322</v>
      </c>
      <c r="E61" s="5">
        <v>134.4</v>
      </c>
      <c r="F61" s="5">
        <v>232482.973</v>
      </c>
      <c r="G61" s="5">
        <v>164763.68</v>
      </c>
      <c r="H61" s="5">
        <v>8.83</v>
      </c>
    </row>
    <row r="62" spans="1:8" x14ac:dyDescent="0.35">
      <c r="A62" s="6">
        <v>45795</v>
      </c>
      <c r="B62" s="14">
        <v>423</v>
      </c>
      <c r="C62" s="4">
        <v>443</v>
      </c>
      <c r="D62" s="4">
        <v>460</v>
      </c>
      <c r="E62" s="4">
        <v>135.9</v>
      </c>
      <c r="F62" s="4">
        <v>247308.962</v>
      </c>
      <c r="G62" s="4">
        <v>151462.04</v>
      </c>
      <c r="H62" s="4">
        <v>8.33</v>
      </c>
    </row>
    <row r="63" spans="1:8" x14ac:dyDescent="0.35">
      <c r="A63" s="7">
        <v>45796</v>
      </c>
      <c r="B63" s="14">
        <v>195</v>
      </c>
      <c r="C63" s="5">
        <v>369</v>
      </c>
      <c r="D63" s="4">
        <v>354</v>
      </c>
      <c r="E63" s="5">
        <v>137.4</v>
      </c>
      <c r="F63" s="5">
        <v>253415.95199999999</v>
      </c>
      <c r="G63" s="5">
        <v>151192</v>
      </c>
      <c r="H63" s="5">
        <v>7.67</v>
      </c>
    </row>
    <row r="64" spans="1:8" x14ac:dyDescent="0.35">
      <c r="A64" s="6">
        <v>45797</v>
      </c>
      <c r="B64" s="14">
        <v>405</v>
      </c>
      <c r="C64" s="4">
        <v>425</v>
      </c>
      <c r="D64" s="4">
        <v>405</v>
      </c>
      <c r="E64" s="4">
        <v>138.80000000000001</v>
      </c>
      <c r="F64" s="4">
        <v>162590.383</v>
      </c>
      <c r="G64" s="4">
        <v>165504.67000000001</v>
      </c>
      <c r="H64" s="4">
        <v>7.2</v>
      </c>
    </row>
    <row r="65" spans="1:8" x14ac:dyDescent="0.35">
      <c r="A65" s="7">
        <v>45798</v>
      </c>
      <c r="B65" s="14">
        <v>439</v>
      </c>
      <c r="C65" s="5">
        <v>489</v>
      </c>
      <c r="D65" s="4">
        <v>428</v>
      </c>
      <c r="E65" s="5">
        <v>140</v>
      </c>
      <c r="F65" s="5">
        <v>231134.33</v>
      </c>
      <c r="G65" s="5">
        <v>198974.19</v>
      </c>
      <c r="H65" s="5">
        <v>7.77</v>
      </c>
    </row>
    <row r="66" spans="1:8" x14ac:dyDescent="0.35">
      <c r="A66" s="6">
        <v>45799</v>
      </c>
      <c r="B66" s="14">
        <v>514</v>
      </c>
      <c r="C66" s="4">
        <v>531</v>
      </c>
      <c r="D66" s="4">
        <v>596</v>
      </c>
      <c r="E66" s="4">
        <v>141.1</v>
      </c>
      <c r="F66" s="4">
        <v>261644.65</v>
      </c>
      <c r="G66" s="4">
        <v>223766.76</v>
      </c>
      <c r="H66" s="4">
        <v>8.27</v>
      </c>
    </row>
    <row r="67" spans="1:8" x14ac:dyDescent="0.35">
      <c r="A67" s="7">
        <v>45818</v>
      </c>
      <c r="B67" s="14">
        <v>212</v>
      </c>
      <c r="C67" s="5">
        <v>224</v>
      </c>
      <c r="D67" s="4">
        <v>215</v>
      </c>
      <c r="E67" s="5">
        <v>123.1</v>
      </c>
      <c r="F67" s="5">
        <v>176208</v>
      </c>
      <c r="G67" s="5">
        <v>64813.58</v>
      </c>
      <c r="H67" s="5">
        <v>10.67</v>
      </c>
    </row>
    <row r="68" spans="1:8" x14ac:dyDescent="0.35">
      <c r="A68" s="6">
        <v>45819</v>
      </c>
      <c r="B68" s="14">
        <v>280</v>
      </c>
      <c r="C68" s="4">
        <v>270</v>
      </c>
      <c r="D68" s="4">
        <v>295</v>
      </c>
      <c r="E68" s="4">
        <v>124.8</v>
      </c>
      <c r="F68" s="4">
        <v>189393</v>
      </c>
      <c r="G68" s="4">
        <v>75837.58</v>
      </c>
      <c r="H68" s="4">
        <v>12.08</v>
      </c>
    </row>
    <row r="69" spans="1:8" x14ac:dyDescent="0.35">
      <c r="A69" s="7">
        <v>45820</v>
      </c>
      <c r="B69" s="14">
        <v>291</v>
      </c>
      <c r="C69" s="5">
        <v>300</v>
      </c>
      <c r="D69" s="4">
        <v>312</v>
      </c>
      <c r="E69" s="5">
        <v>126.5</v>
      </c>
      <c r="F69" s="5">
        <v>187379.98</v>
      </c>
      <c r="G69" s="5">
        <v>86619.92</v>
      </c>
      <c r="H69" s="5">
        <v>12.31</v>
      </c>
    </row>
    <row r="70" spans="1:8" x14ac:dyDescent="0.35">
      <c r="A70" s="6">
        <v>45821</v>
      </c>
      <c r="B70" s="14">
        <v>391</v>
      </c>
      <c r="C70" s="4">
        <v>403</v>
      </c>
      <c r="D70" s="4">
        <v>398</v>
      </c>
      <c r="E70" s="4">
        <v>128.1</v>
      </c>
      <c r="F70" s="4">
        <v>195877.32</v>
      </c>
      <c r="G70" s="4">
        <v>98007.09</v>
      </c>
      <c r="H70" s="4">
        <v>10.69</v>
      </c>
    </row>
    <row r="71" spans="1:8" x14ac:dyDescent="0.35">
      <c r="A71" s="7">
        <v>45822</v>
      </c>
      <c r="B71" s="14">
        <v>423</v>
      </c>
      <c r="C71" s="5">
        <v>435</v>
      </c>
      <c r="D71" s="4">
        <v>426</v>
      </c>
      <c r="E71" s="5">
        <v>129.80000000000001</v>
      </c>
      <c r="F71" s="5">
        <v>206467.64</v>
      </c>
      <c r="G71" s="5">
        <v>107311.34</v>
      </c>
      <c r="H71" s="5">
        <v>10.24</v>
      </c>
    </row>
    <row r="72" spans="1:8" x14ac:dyDescent="0.35">
      <c r="A72" s="6">
        <v>45823</v>
      </c>
      <c r="B72" s="14">
        <v>404</v>
      </c>
      <c r="C72" s="4">
        <v>413</v>
      </c>
      <c r="D72" s="4">
        <v>344.9</v>
      </c>
      <c r="E72" s="4">
        <v>131.4</v>
      </c>
      <c r="F72" s="4">
        <v>209944.31299999999</v>
      </c>
      <c r="G72" s="4">
        <v>124961.5</v>
      </c>
      <c r="H72" s="4">
        <v>9.8800000000000008</v>
      </c>
    </row>
    <row r="73" spans="1:8" x14ac:dyDescent="0.35">
      <c r="A73" s="7">
        <v>45824</v>
      </c>
      <c r="B73" s="14">
        <v>389</v>
      </c>
      <c r="C73" s="5">
        <v>401</v>
      </c>
      <c r="D73" s="4">
        <v>408</v>
      </c>
      <c r="E73" s="5">
        <v>132.9</v>
      </c>
      <c r="F73" s="5">
        <v>226742.984</v>
      </c>
      <c r="G73" s="5">
        <v>156151.92000000001</v>
      </c>
      <c r="H73" s="5">
        <v>9.23</v>
      </c>
    </row>
    <row r="74" spans="1:8" x14ac:dyDescent="0.35">
      <c r="A74" s="6">
        <v>45825</v>
      </c>
      <c r="B74" s="14">
        <v>409</v>
      </c>
      <c r="C74" s="4">
        <v>414</v>
      </c>
      <c r="D74" s="4">
        <v>398</v>
      </c>
      <c r="E74" s="4">
        <v>134.5</v>
      </c>
      <c r="F74" s="4">
        <v>229564.973</v>
      </c>
      <c r="G74" s="4">
        <v>163147.85</v>
      </c>
      <c r="H74" s="4">
        <v>8.7899999999999991</v>
      </c>
    </row>
    <row r="75" spans="1:8" x14ac:dyDescent="0.35">
      <c r="A75" s="7">
        <v>45826</v>
      </c>
      <c r="B75" s="14">
        <v>401</v>
      </c>
      <c r="C75" s="5">
        <v>410</v>
      </c>
      <c r="D75" s="4">
        <v>386</v>
      </c>
      <c r="E75" s="5">
        <v>136</v>
      </c>
      <c r="F75" s="5">
        <v>243263.962</v>
      </c>
      <c r="G75" s="5">
        <v>151337.04</v>
      </c>
      <c r="H75" s="5">
        <v>8.2899999999999991</v>
      </c>
    </row>
    <row r="76" spans="1:8" x14ac:dyDescent="0.35">
      <c r="A76" s="6">
        <v>45827</v>
      </c>
      <c r="B76" s="14">
        <v>200</v>
      </c>
      <c r="C76" s="4">
        <v>323</v>
      </c>
      <c r="D76" s="4">
        <v>360</v>
      </c>
      <c r="E76" s="4">
        <v>137.5</v>
      </c>
      <c r="F76" s="4">
        <v>247103.95199999999</v>
      </c>
      <c r="G76" s="4">
        <v>151405.75</v>
      </c>
      <c r="H76" s="4">
        <v>7.58</v>
      </c>
    </row>
    <row r="77" spans="1:8" x14ac:dyDescent="0.35">
      <c r="A77" s="7">
        <v>45828</v>
      </c>
      <c r="B77" s="14">
        <v>414</v>
      </c>
      <c r="C77" s="5">
        <v>445</v>
      </c>
      <c r="D77" s="4">
        <v>410</v>
      </c>
      <c r="E77" s="5">
        <v>138.9</v>
      </c>
      <c r="F77" s="5">
        <v>193743.71299999999</v>
      </c>
      <c r="G77" s="5">
        <v>168655.34</v>
      </c>
      <c r="H77" s="5">
        <v>7.25</v>
      </c>
    </row>
    <row r="78" spans="1:8" x14ac:dyDescent="0.35">
      <c r="A78" s="6">
        <v>45829</v>
      </c>
      <c r="B78" s="14">
        <v>423</v>
      </c>
      <c r="C78" s="4">
        <v>440</v>
      </c>
      <c r="D78" s="4">
        <v>439</v>
      </c>
      <c r="E78" s="4">
        <v>140.1</v>
      </c>
      <c r="F78" s="4">
        <v>237102.66</v>
      </c>
      <c r="G78" s="4">
        <v>201040.24</v>
      </c>
      <c r="H78" s="4">
        <v>7.81</v>
      </c>
    </row>
    <row r="79" spans="1:8" x14ac:dyDescent="0.35">
      <c r="A79" s="7">
        <v>45830</v>
      </c>
      <c r="B79" s="14">
        <v>574</v>
      </c>
      <c r="C79" s="5">
        <v>586</v>
      </c>
      <c r="D79" s="4">
        <v>685</v>
      </c>
      <c r="E79" s="5">
        <v>141.19999999999999</v>
      </c>
      <c r="F79" s="5">
        <v>260371.32</v>
      </c>
      <c r="G79" s="5">
        <v>225832.8</v>
      </c>
      <c r="H79" s="5">
        <v>8.31</v>
      </c>
    </row>
    <row r="80" spans="1:8" x14ac:dyDescent="0.35">
      <c r="A80" s="6">
        <v>45848</v>
      </c>
      <c r="B80" s="14">
        <v>174</v>
      </c>
      <c r="C80" s="4">
        <v>184</v>
      </c>
      <c r="D80" s="4">
        <v>181</v>
      </c>
      <c r="E80" s="4">
        <v>123.2</v>
      </c>
      <c r="F80" s="4">
        <v>175062</v>
      </c>
      <c r="G80" s="4">
        <v>65713.5</v>
      </c>
      <c r="H80" s="4">
        <v>10.75</v>
      </c>
    </row>
    <row r="81" spans="1:8" x14ac:dyDescent="0.35">
      <c r="A81" s="7">
        <v>45849</v>
      </c>
      <c r="B81" s="14">
        <v>225</v>
      </c>
      <c r="C81" s="5">
        <v>213</v>
      </c>
      <c r="D81" s="4">
        <v>215</v>
      </c>
      <c r="E81" s="5">
        <v>124.9</v>
      </c>
      <c r="F81" s="5">
        <v>190701</v>
      </c>
      <c r="G81" s="5">
        <v>76782.5</v>
      </c>
      <c r="H81" s="5">
        <v>12.25</v>
      </c>
    </row>
    <row r="82" spans="1:8" x14ac:dyDescent="0.35">
      <c r="A82" s="6">
        <v>45850</v>
      </c>
      <c r="B82" s="14">
        <v>236</v>
      </c>
      <c r="C82" s="4">
        <v>234</v>
      </c>
      <c r="D82" s="4">
        <v>259</v>
      </c>
      <c r="E82" s="4">
        <v>126.6</v>
      </c>
      <c r="F82" s="4">
        <v>186136.98</v>
      </c>
      <c r="G82" s="4">
        <v>87453.5</v>
      </c>
      <c r="H82" s="4">
        <v>12.13</v>
      </c>
    </row>
    <row r="83" spans="1:8" x14ac:dyDescent="0.35">
      <c r="A83" s="7">
        <v>45851</v>
      </c>
      <c r="B83" s="14">
        <v>304</v>
      </c>
      <c r="C83" s="5">
        <v>311</v>
      </c>
      <c r="D83" s="4">
        <v>308</v>
      </c>
      <c r="E83" s="5">
        <v>128.30000000000001</v>
      </c>
      <c r="F83" s="5">
        <v>194457.99</v>
      </c>
      <c r="G83" s="5">
        <v>99117.5</v>
      </c>
      <c r="H83" s="5">
        <v>10.63</v>
      </c>
    </row>
    <row r="84" spans="1:8" x14ac:dyDescent="0.35">
      <c r="A84" s="6">
        <v>45852</v>
      </c>
      <c r="B84" s="14">
        <v>313</v>
      </c>
      <c r="C84" s="4">
        <v>325</v>
      </c>
      <c r="D84" s="4">
        <v>312</v>
      </c>
      <c r="E84" s="4">
        <v>129.9</v>
      </c>
      <c r="F84" s="4">
        <v>204911.97</v>
      </c>
      <c r="G84" s="4">
        <v>107694.17</v>
      </c>
      <c r="H84" s="4">
        <v>10.23</v>
      </c>
    </row>
    <row r="85" spans="1:8" x14ac:dyDescent="0.35">
      <c r="A85" s="7">
        <v>45853</v>
      </c>
      <c r="B85" s="14">
        <v>308</v>
      </c>
      <c r="C85" s="5">
        <v>314</v>
      </c>
      <c r="D85" s="4">
        <v>335</v>
      </c>
      <c r="E85" s="5">
        <v>131.5</v>
      </c>
      <c r="F85" s="5">
        <v>205789.98300000001</v>
      </c>
      <c r="G85" s="5">
        <v>127879</v>
      </c>
      <c r="H85" s="5">
        <v>9.81</v>
      </c>
    </row>
    <row r="86" spans="1:8" x14ac:dyDescent="0.35">
      <c r="A86" s="6">
        <v>45854</v>
      </c>
      <c r="B86" s="14">
        <v>369</v>
      </c>
      <c r="C86" s="4">
        <v>380</v>
      </c>
      <c r="D86" s="4">
        <v>379</v>
      </c>
      <c r="E86" s="4">
        <v>133.1</v>
      </c>
      <c r="F86" s="4">
        <v>222843.984</v>
      </c>
      <c r="G86" s="4">
        <v>158305.5</v>
      </c>
      <c r="H86" s="4">
        <v>9.1999999999999993</v>
      </c>
    </row>
    <row r="87" spans="1:8" x14ac:dyDescent="0.35">
      <c r="A87" s="7">
        <v>45855</v>
      </c>
      <c r="B87" s="14">
        <v>303</v>
      </c>
      <c r="C87" s="5">
        <v>323</v>
      </c>
      <c r="D87" s="4">
        <v>295</v>
      </c>
      <c r="E87" s="5">
        <v>134.6</v>
      </c>
      <c r="F87" s="5">
        <v>226646.973</v>
      </c>
      <c r="G87" s="5">
        <v>161532.01999999999</v>
      </c>
      <c r="H87" s="5">
        <v>8.75</v>
      </c>
    </row>
    <row r="88" spans="1:8" x14ac:dyDescent="0.35">
      <c r="A88" s="6">
        <v>45856</v>
      </c>
      <c r="B88" s="14">
        <v>383</v>
      </c>
      <c r="C88" s="4">
        <v>396</v>
      </c>
      <c r="D88" s="4">
        <v>375</v>
      </c>
      <c r="E88" s="4">
        <v>136.19999999999999</v>
      </c>
      <c r="F88" s="4">
        <v>239218.962</v>
      </c>
      <c r="G88" s="4">
        <v>151212.04</v>
      </c>
      <c r="H88" s="4">
        <v>8.25</v>
      </c>
    </row>
    <row r="89" spans="1:8" x14ac:dyDescent="0.35">
      <c r="A89" s="7">
        <v>45857</v>
      </c>
      <c r="B89" s="14">
        <v>256</v>
      </c>
      <c r="C89" s="5">
        <v>360</v>
      </c>
      <c r="D89" s="4">
        <v>310</v>
      </c>
      <c r="E89" s="5">
        <v>137.6</v>
      </c>
      <c r="F89" s="5">
        <v>240791.95199999999</v>
      </c>
      <c r="G89" s="5">
        <v>151619.5</v>
      </c>
      <c r="H89" s="5">
        <v>7.5</v>
      </c>
    </row>
    <row r="90" spans="1:8" x14ac:dyDescent="0.35">
      <c r="A90" s="6">
        <v>45858</v>
      </c>
      <c r="B90" s="14">
        <v>336</v>
      </c>
      <c r="C90" s="4">
        <v>356</v>
      </c>
      <c r="D90" s="4">
        <v>386</v>
      </c>
      <c r="E90" s="4">
        <v>139</v>
      </c>
      <c r="F90" s="4">
        <v>224897.04300000001</v>
      </c>
      <c r="G90" s="4">
        <v>171806</v>
      </c>
      <c r="H90" s="4">
        <v>7.3</v>
      </c>
    </row>
    <row r="91" spans="1:8" x14ac:dyDescent="0.35">
      <c r="A91" s="7">
        <v>45859</v>
      </c>
      <c r="B91" s="14">
        <v>382</v>
      </c>
      <c r="C91" s="5">
        <v>388</v>
      </c>
      <c r="D91" s="4">
        <v>400</v>
      </c>
      <c r="E91" s="5">
        <v>140.19999999999999</v>
      </c>
      <c r="F91" s="5">
        <v>243070.99</v>
      </c>
      <c r="G91" s="5">
        <v>203106.29</v>
      </c>
      <c r="H91" s="5">
        <v>7.85</v>
      </c>
    </row>
    <row r="92" spans="1:8" x14ac:dyDescent="0.35">
      <c r="A92" s="6">
        <v>45860</v>
      </c>
      <c r="B92" s="14">
        <v>430</v>
      </c>
      <c r="C92" s="4">
        <v>434</v>
      </c>
      <c r="D92" s="4">
        <v>547</v>
      </c>
      <c r="E92" s="4">
        <v>141.30000000000001</v>
      </c>
      <c r="F92" s="4">
        <v>259097.99</v>
      </c>
      <c r="G92" s="4">
        <v>227898.85</v>
      </c>
      <c r="H92" s="4">
        <v>8.35</v>
      </c>
    </row>
    <row r="93" spans="1:8" x14ac:dyDescent="0.35">
      <c r="A93" s="7">
        <v>45879</v>
      </c>
      <c r="B93" s="14">
        <v>200</v>
      </c>
      <c r="C93" s="5">
        <v>193</v>
      </c>
      <c r="D93" s="4">
        <v>216</v>
      </c>
      <c r="E93" s="5">
        <v>123.3</v>
      </c>
      <c r="F93" s="5">
        <v>177418</v>
      </c>
      <c r="G93" s="5">
        <v>66613.42</v>
      </c>
      <c r="H93" s="5">
        <v>10.83</v>
      </c>
    </row>
    <row r="94" spans="1:8" x14ac:dyDescent="0.35">
      <c r="A94" s="6">
        <v>45880</v>
      </c>
      <c r="B94" s="14">
        <v>165</v>
      </c>
      <c r="C94" s="4">
        <v>184</v>
      </c>
      <c r="D94" s="4">
        <v>192</v>
      </c>
      <c r="E94" s="4">
        <v>125.1</v>
      </c>
      <c r="F94" s="4">
        <v>192375.33</v>
      </c>
      <c r="G94" s="4">
        <v>77727.42</v>
      </c>
      <c r="H94" s="4">
        <v>12.42</v>
      </c>
    </row>
    <row r="95" spans="1:8" x14ac:dyDescent="0.35">
      <c r="A95" s="7">
        <v>45881</v>
      </c>
      <c r="B95" s="14">
        <v>262</v>
      </c>
      <c r="C95" s="5">
        <v>266</v>
      </c>
      <c r="D95" s="4">
        <v>261</v>
      </c>
      <c r="E95" s="5">
        <v>126.7</v>
      </c>
      <c r="F95" s="5">
        <v>188780.98</v>
      </c>
      <c r="G95" s="5">
        <v>88287.08</v>
      </c>
      <c r="H95" s="5">
        <v>11.94</v>
      </c>
    </row>
    <row r="96" spans="1:8" x14ac:dyDescent="0.35">
      <c r="A96" s="6">
        <v>45882</v>
      </c>
      <c r="B96" s="14">
        <v>221</v>
      </c>
      <c r="C96" s="4">
        <v>291</v>
      </c>
      <c r="D96" s="4">
        <v>221</v>
      </c>
      <c r="E96" s="4">
        <v>128.4</v>
      </c>
      <c r="F96" s="4">
        <v>195795.32</v>
      </c>
      <c r="G96" s="4">
        <v>100227.92</v>
      </c>
      <c r="H96" s="4">
        <v>10.56</v>
      </c>
    </row>
    <row r="97" spans="1:8" x14ac:dyDescent="0.35">
      <c r="A97" s="7">
        <v>45883</v>
      </c>
      <c r="B97" s="14">
        <v>309</v>
      </c>
      <c r="C97" s="5">
        <v>314</v>
      </c>
      <c r="D97" s="4">
        <v>308</v>
      </c>
      <c r="E97" s="5">
        <v>130.1</v>
      </c>
      <c r="F97" s="5">
        <v>205460.63699999999</v>
      </c>
      <c r="G97" s="5">
        <v>108077</v>
      </c>
      <c r="H97" s="5">
        <v>10.23</v>
      </c>
    </row>
    <row r="98" spans="1:8" x14ac:dyDescent="0.35">
      <c r="A98" s="6">
        <v>45884</v>
      </c>
      <c r="B98" s="14">
        <v>314</v>
      </c>
      <c r="C98" s="4">
        <v>323</v>
      </c>
      <c r="D98" s="4">
        <v>325</v>
      </c>
      <c r="E98" s="4">
        <v>131.6</v>
      </c>
      <c r="F98" s="4">
        <v>209342.98300000001</v>
      </c>
      <c r="G98" s="4">
        <v>130796.5</v>
      </c>
      <c r="H98" s="4">
        <v>9.74</v>
      </c>
    </row>
    <row r="99" spans="1:8" x14ac:dyDescent="0.35">
      <c r="A99" s="7">
        <v>45885</v>
      </c>
      <c r="B99" s="14">
        <v>323</v>
      </c>
      <c r="C99" s="5">
        <v>347</v>
      </c>
      <c r="D99" s="4">
        <v>310</v>
      </c>
      <c r="E99" s="5">
        <v>133.19999999999999</v>
      </c>
      <c r="F99" s="5">
        <v>226038.31700000001</v>
      </c>
      <c r="G99" s="5">
        <v>160459.07999999999</v>
      </c>
      <c r="H99" s="5">
        <v>9.17</v>
      </c>
    </row>
    <row r="100" spans="1:8" x14ac:dyDescent="0.35">
      <c r="A100" s="6">
        <v>45886</v>
      </c>
      <c r="B100" s="14">
        <v>348</v>
      </c>
      <c r="C100" s="4">
        <v>321</v>
      </c>
      <c r="D100" s="4">
        <v>296</v>
      </c>
      <c r="E100" s="4">
        <v>134.80000000000001</v>
      </c>
      <c r="F100" s="4">
        <v>232428.30300000001</v>
      </c>
      <c r="G100" s="4">
        <v>159916.19</v>
      </c>
      <c r="H100" s="4">
        <v>8.7100000000000009</v>
      </c>
    </row>
    <row r="101" spans="1:8" x14ac:dyDescent="0.35">
      <c r="A101" s="7">
        <v>45887</v>
      </c>
      <c r="B101" s="14">
        <v>386</v>
      </c>
      <c r="C101" s="5">
        <v>378</v>
      </c>
      <c r="D101" s="4">
        <v>380</v>
      </c>
      <c r="E101" s="5">
        <v>136.30000000000001</v>
      </c>
      <c r="F101" s="5">
        <v>246475.29500000001</v>
      </c>
      <c r="G101" s="5">
        <v>151087.04000000001</v>
      </c>
      <c r="H101" s="5">
        <v>8.2100000000000009</v>
      </c>
    </row>
    <row r="102" spans="1:8" x14ac:dyDescent="0.35">
      <c r="A102" s="6">
        <v>45888</v>
      </c>
      <c r="B102" s="14">
        <v>270</v>
      </c>
      <c r="C102" s="4">
        <v>331</v>
      </c>
      <c r="D102" s="4">
        <v>321</v>
      </c>
      <c r="E102" s="4">
        <v>137.69999999999999</v>
      </c>
      <c r="F102" s="4">
        <v>246430.61900000001</v>
      </c>
      <c r="G102" s="4">
        <v>151833.25</v>
      </c>
      <c r="H102" s="4">
        <v>7.42</v>
      </c>
    </row>
    <row r="103" spans="1:8" x14ac:dyDescent="0.35">
      <c r="A103" s="7">
        <v>45889</v>
      </c>
      <c r="B103" s="14">
        <v>322</v>
      </c>
      <c r="C103" s="5">
        <v>326</v>
      </c>
      <c r="D103" s="4">
        <v>326</v>
      </c>
      <c r="E103" s="5">
        <v>139.1</v>
      </c>
      <c r="F103" s="5">
        <v>241515.37299999999</v>
      </c>
      <c r="G103" s="5">
        <v>174956.67</v>
      </c>
      <c r="H103" s="5">
        <v>7.35</v>
      </c>
    </row>
    <row r="104" spans="1:8" x14ac:dyDescent="0.35">
      <c r="A104" s="6">
        <v>45890</v>
      </c>
      <c r="B104" s="14">
        <v>391</v>
      </c>
      <c r="C104" s="4">
        <v>396</v>
      </c>
      <c r="D104" s="4">
        <v>395</v>
      </c>
      <c r="E104" s="4">
        <v>140.30000000000001</v>
      </c>
      <c r="F104" s="4">
        <v>251071.99</v>
      </c>
      <c r="G104" s="4">
        <v>205172.33</v>
      </c>
      <c r="H104" s="4">
        <v>7.89</v>
      </c>
    </row>
    <row r="105" spans="1:8" x14ac:dyDescent="0.35">
      <c r="A105" s="7">
        <v>45891</v>
      </c>
      <c r="B105" s="14">
        <v>419</v>
      </c>
      <c r="C105" s="5">
        <v>422</v>
      </c>
      <c r="D105" s="4">
        <v>526</v>
      </c>
      <c r="E105" s="5">
        <v>141.4</v>
      </c>
      <c r="F105" s="5">
        <v>257824.66</v>
      </c>
      <c r="G105" s="5">
        <v>229964.9</v>
      </c>
      <c r="H105" s="5">
        <v>8.39</v>
      </c>
    </row>
    <row r="106" spans="1:8" x14ac:dyDescent="0.35">
      <c r="A106" s="6">
        <v>45910</v>
      </c>
      <c r="B106" s="14">
        <v>152</v>
      </c>
      <c r="C106" s="4">
        <v>169</v>
      </c>
      <c r="D106" s="4">
        <v>178</v>
      </c>
      <c r="E106" s="4">
        <v>123.5</v>
      </c>
      <c r="F106" s="4">
        <v>179774</v>
      </c>
      <c r="G106" s="4">
        <v>67513.33</v>
      </c>
      <c r="H106" s="4">
        <v>10.92</v>
      </c>
    </row>
    <row r="107" spans="1:8" x14ac:dyDescent="0.35">
      <c r="A107" s="7">
        <v>45911</v>
      </c>
      <c r="B107" s="14">
        <v>191</v>
      </c>
      <c r="C107" s="5">
        <v>234</v>
      </c>
      <c r="D107" s="4">
        <v>219</v>
      </c>
      <c r="E107" s="5">
        <v>125.2</v>
      </c>
      <c r="F107" s="5">
        <v>194049.66</v>
      </c>
      <c r="G107" s="5">
        <v>78672.33</v>
      </c>
      <c r="H107" s="5">
        <v>12.58</v>
      </c>
    </row>
    <row r="108" spans="1:8" x14ac:dyDescent="0.35">
      <c r="A108" s="6">
        <v>45912</v>
      </c>
      <c r="B108" s="14">
        <v>278</v>
      </c>
      <c r="C108" s="4">
        <v>287</v>
      </c>
      <c r="D108" s="4">
        <v>286</v>
      </c>
      <c r="E108" s="4">
        <v>126.9</v>
      </c>
      <c r="F108" s="4">
        <v>191424.98</v>
      </c>
      <c r="G108" s="4">
        <v>89120.67</v>
      </c>
      <c r="H108" s="4">
        <v>11.75</v>
      </c>
    </row>
    <row r="109" spans="1:8" x14ac:dyDescent="0.35">
      <c r="A109" s="7">
        <v>45913</v>
      </c>
      <c r="B109" s="14">
        <v>344</v>
      </c>
      <c r="C109" s="5">
        <v>323</v>
      </c>
      <c r="D109" s="4">
        <v>335</v>
      </c>
      <c r="E109" s="5">
        <v>128.6</v>
      </c>
      <c r="F109" s="5">
        <v>197132.65</v>
      </c>
      <c r="G109" s="5">
        <v>101338.34</v>
      </c>
      <c r="H109" s="5">
        <v>10.5</v>
      </c>
    </row>
    <row r="110" spans="1:8" x14ac:dyDescent="0.35">
      <c r="A110" s="6">
        <v>45914</v>
      </c>
      <c r="B110" s="14">
        <v>314</v>
      </c>
      <c r="C110" s="4">
        <v>302</v>
      </c>
      <c r="D110" s="4">
        <v>298</v>
      </c>
      <c r="E110" s="4">
        <v>130.19999999999999</v>
      </c>
      <c r="F110" s="4">
        <v>206009.304</v>
      </c>
      <c r="G110" s="4">
        <v>108459.84</v>
      </c>
      <c r="H110" s="4">
        <v>10.23</v>
      </c>
    </row>
    <row r="111" spans="1:8" x14ac:dyDescent="0.35">
      <c r="A111" s="7">
        <v>45915</v>
      </c>
      <c r="B111" s="14">
        <v>343</v>
      </c>
      <c r="C111" s="5">
        <v>311</v>
      </c>
      <c r="D111" s="4">
        <v>325</v>
      </c>
      <c r="E111" s="5">
        <v>131.80000000000001</v>
      </c>
      <c r="F111" s="5">
        <v>212895.98300000001</v>
      </c>
      <c r="G111" s="5">
        <v>133714</v>
      </c>
      <c r="H111" s="5">
        <v>9.67</v>
      </c>
    </row>
    <row r="112" spans="1:8" x14ac:dyDescent="0.35">
      <c r="A112" s="6">
        <v>45916</v>
      </c>
      <c r="B112" s="14">
        <v>304</v>
      </c>
      <c r="C112" s="4">
        <v>314</v>
      </c>
      <c r="D112" s="4">
        <v>329</v>
      </c>
      <c r="E112" s="4">
        <v>133.30000000000001</v>
      </c>
      <c r="F112" s="4">
        <v>229232.65</v>
      </c>
      <c r="G112" s="4">
        <v>162612.66</v>
      </c>
      <c r="H112" s="4">
        <v>9.1300000000000008</v>
      </c>
    </row>
    <row r="113" spans="1:8" x14ac:dyDescent="0.35">
      <c r="A113" s="7">
        <v>45917</v>
      </c>
      <c r="B113" s="14">
        <v>377</v>
      </c>
      <c r="C113" s="5">
        <v>359</v>
      </c>
      <c r="D113" s="4">
        <v>398</v>
      </c>
      <c r="E113" s="5">
        <v>134.9</v>
      </c>
      <c r="F113" s="5">
        <v>238209.633</v>
      </c>
      <c r="G113" s="5">
        <v>158300.35999999999</v>
      </c>
      <c r="H113" s="5">
        <v>8.67</v>
      </c>
    </row>
    <row r="114" spans="1:8" x14ac:dyDescent="0.35">
      <c r="A114" s="6">
        <v>45918</v>
      </c>
      <c r="B114" s="14">
        <v>369</v>
      </c>
      <c r="C114" s="4">
        <v>386</v>
      </c>
      <c r="D114" s="4">
        <v>395</v>
      </c>
      <c r="E114" s="4">
        <v>136.4</v>
      </c>
      <c r="F114" s="4">
        <v>253731.628</v>
      </c>
      <c r="G114" s="4">
        <v>150962.04</v>
      </c>
      <c r="H114" s="4">
        <v>8.17</v>
      </c>
    </row>
    <row r="115" spans="1:8" x14ac:dyDescent="0.35">
      <c r="A115" s="7">
        <v>45919</v>
      </c>
      <c r="B115" s="14">
        <v>260</v>
      </c>
      <c r="C115" s="5">
        <v>333</v>
      </c>
      <c r="D115" s="4">
        <v>315</v>
      </c>
      <c r="E115" s="5">
        <v>137.80000000000001</v>
      </c>
      <c r="F115" s="5">
        <v>252069.28599999999</v>
      </c>
      <c r="G115" s="5">
        <v>152047</v>
      </c>
      <c r="H115" s="5">
        <v>7.33</v>
      </c>
    </row>
    <row r="116" spans="1:8" x14ac:dyDescent="0.35">
      <c r="A116" s="6">
        <v>45920</v>
      </c>
      <c r="B116" s="14">
        <v>423</v>
      </c>
      <c r="C116" s="4">
        <v>388</v>
      </c>
      <c r="D116" s="4">
        <v>388</v>
      </c>
      <c r="E116" s="4">
        <v>139.19999999999999</v>
      </c>
      <c r="F116" s="4">
        <v>258133.70300000001</v>
      </c>
      <c r="G116" s="4">
        <v>178107.34</v>
      </c>
      <c r="H116" s="4">
        <v>7.4</v>
      </c>
    </row>
    <row r="117" spans="1:8" x14ac:dyDescent="0.35">
      <c r="A117" s="7">
        <v>45921</v>
      </c>
      <c r="B117" s="14">
        <v>420</v>
      </c>
      <c r="C117" s="5">
        <v>406</v>
      </c>
      <c r="D117" s="4">
        <v>415</v>
      </c>
      <c r="E117" s="5">
        <v>140.4</v>
      </c>
      <c r="F117" s="5">
        <v>259072.99</v>
      </c>
      <c r="G117" s="5">
        <v>207238.38</v>
      </c>
      <c r="H117" s="5">
        <v>7.93</v>
      </c>
    </row>
    <row r="118" spans="1:8" x14ac:dyDescent="0.35">
      <c r="A118" s="6">
        <v>45922</v>
      </c>
      <c r="B118" s="14">
        <v>431</v>
      </c>
      <c r="C118" s="4">
        <v>433</v>
      </c>
      <c r="D118" s="4">
        <v>502</v>
      </c>
      <c r="E118" s="4">
        <v>141.5</v>
      </c>
      <c r="F118" s="4">
        <v>256551.33</v>
      </c>
      <c r="G118" s="4">
        <v>232030.94</v>
      </c>
      <c r="H118" s="4">
        <v>8.43</v>
      </c>
    </row>
    <row r="119" spans="1:8" x14ac:dyDescent="0.35">
      <c r="A119" s="7">
        <v>45940</v>
      </c>
      <c r="B119" s="14">
        <v>214</v>
      </c>
      <c r="C119" s="5">
        <v>200</v>
      </c>
      <c r="D119" s="4">
        <v>215</v>
      </c>
      <c r="E119" s="5">
        <v>123.6</v>
      </c>
      <c r="F119" s="5">
        <v>182130</v>
      </c>
      <c r="G119" s="5">
        <v>68413.25</v>
      </c>
      <c r="H119" s="5">
        <v>11</v>
      </c>
    </row>
    <row r="120" spans="1:8" x14ac:dyDescent="0.35">
      <c r="A120" s="6">
        <v>45941</v>
      </c>
      <c r="B120" s="14">
        <v>243</v>
      </c>
      <c r="C120" s="4">
        <v>251</v>
      </c>
      <c r="D120" s="4">
        <v>250</v>
      </c>
      <c r="E120" s="4">
        <v>125.3</v>
      </c>
      <c r="F120" s="4">
        <v>195723.99</v>
      </c>
      <c r="G120" s="4">
        <v>79617.25</v>
      </c>
      <c r="H120" s="4">
        <v>12.75</v>
      </c>
    </row>
    <row r="121" spans="1:8" x14ac:dyDescent="0.35">
      <c r="A121" s="7">
        <v>45942</v>
      </c>
      <c r="B121" s="14">
        <v>291</v>
      </c>
      <c r="C121" s="5">
        <v>303</v>
      </c>
      <c r="D121" s="4">
        <v>300</v>
      </c>
      <c r="E121" s="5">
        <v>127</v>
      </c>
      <c r="F121" s="5">
        <v>194068.98</v>
      </c>
      <c r="G121" s="5">
        <v>89954.25</v>
      </c>
      <c r="H121" s="5">
        <v>11.56</v>
      </c>
    </row>
    <row r="122" spans="1:8" x14ac:dyDescent="0.35">
      <c r="A122" s="6">
        <v>45943</v>
      </c>
      <c r="B122" s="14">
        <v>291</v>
      </c>
      <c r="C122" s="4">
        <v>309</v>
      </c>
      <c r="D122" s="4">
        <v>298</v>
      </c>
      <c r="E122" s="4">
        <v>128.69999999999999</v>
      </c>
      <c r="F122" s="4">
        <v>198469.98</v>
      </c>
      <c r="G122" s="4">
        <v>102448.75</v>
      </c>
      <c r="H122" s="4">
        <v>10.44</v>
      </c>
    </row>
    <row r="123" spans="1:8" x14ac:dyDescent="0.35">
      <c r="A123" s="7">
        <v>45944</v>
      </c>
      <c r="B123" s="14">
        <v>301</v>
      </c>
      <c r="C123" s="5">
        <v>300</v>
      </c>
      <c r="D123" s="4">
        <v>285</v>
      </c>
      <c r="E123" s="5">
        <v>130.30000000000001</v>
      </c>
      <c r="F123" s="5">
        <v>206557.97099999999</v>
      </c>
      <c r="G123" s="5">
        <v>108842.67</v>
      </c>
      <c r="H123" s="5">
        <v>10.220000000000001</v>
      </c>
    </row>
    <row r="124" spans="1:8" x14ac:dyDescent="0.35">
      <c r="A124" s="6">
        <v>45945</v>
      </c>
      <c r="B124" s="14">
        <v>313</v>
      </c>
      <c r="C124" s="4">
        <v>318</v>
      </c>
      <c r="D124" s="4">
        <v>316</v>
      </c>
      <c r="E124" s="4">
        <v>131.9</v>
      </c>
      <c r="F124" s="4">
        <v>216448.98300000001</v>
      </c>
      <c r="G124" s="4">
        <v>136631.5</v>
      </c>
      <c r="H124" s="4">
        <v>9.6</v>
      </c>
    </row>
    <row r="125" spans="1:8" x14ac:dyDescent="0.35">
      <c r="A125" s="7">
        <v>45946</v>
      </c>
      <c r="B125" s="14">
        <v>312</v>
      </c>
      <c r="C125" s="5">
        <v>336</v>
      </c>
      <c r="D125" s="4">
        <v>338</v>
      </c>
      <c r="E125" s="5">
        <v>133.5</v>
      </c>
      <c r="F125" s="5">
        <v>232426.98300000001</v>
      </c>
      <c r="G125" s="5">
        <v>164766.25</v>
      </c>
      <c r="H125" s="5">
        <v>9.1</v>
      </c>
    </row>
    <row r="126" spans="1:8" x14ac:dyDescent="0.35">
      <c r="A126" s="6">
        <v>45947</v>
      </c>
      <c r="B126" s="14">
        <v>398</v>
      </c>
      <c r="C126" s="4">
        <v>388</v>
      </c>
      <c r="D126" s="4">
        <v>405</v>
      </c>
      <c r="E126" s="4">
        <v>135</v>
      </c>
      <c r="F126" s="4">
        <v>243990.96299999999</v>
      </c>
      <c r="G126" s="4">
        <v>156684.53</v>
      </c>
      <c r="H126" s="4">
        <v>8.6199999999999992</v>
      </c>
    </row>
    <row r="127" spans="1:8" x14ac:dyDescent="0.35">
      <c r="A127" s="7">
        <v>45948</v>
      </c>
      <c r="B127" s="14">
        <v>391</v>
      </c>
      <c r="C127" s="5">
        <v>396</v>
      </c>
      <c r="D127" s="4">
        <v>425</v>
      </c>
      <c r="E127" s="5">
        <v>136.5</v>
      </c>
      <c r="F127" s="5">
        <v>260987.96100000001</v>
      </c>
      <c r="G127" s="5">
        <v>150837.04</v>
      </c>
      <c r="H127" s="5">
        <v>8.1199999999999992</v>
      </c>
    </row>
    <row r="128" spans="1:8" x14ac:dyDescent="0.35">
      <c r="A128" s="6">
        <v>45949</v>
      </c>
      <c r="B128" s="14">
        <v>281</v>
      </c>
      <c r="C128" s="4">
        <v>366</v>
      </c>
      <c r="D128" s="4">
        <v>358</v>
      </c>
      <c r="E128" s="4">
        <v>138</v>
      </c>
      <c r="F128" s="4">
        <v>257707.95300000001</v>
      </c>
      <c r="G128" s="4">
        <v>152260.75</v>
      </c>
      <c r="H128" s="4">
        <v>7.25</v>
      </c>
    </row>
    <row r="129" spans="1:8" x14ac:dyDescent="0.35">
      <c r="A129" s="7">
        <v>45950</v>
      </c>
      <c r="B129" s="14">
        <v>354</v>
      </c>
      <c r="C129" s="5">
        <v>337</v>
      </c>
      <c r="D129" s="4">
        <v>337</v>
      </c>
      <c r="E129" s="5">
        <v>139.30000000000001</v>
      </c>
      <c r="F129" s="5">
        <v>274752.033</v>
      </c>
      <c r="G129" s="5">
        <v>181258</v>
      </c>
      <c r="H129" s="5">
        <v>7.45</v>
      </c>
    </row>
    <row r="130" spans="1:8" x14ac:dyDescent="0.35">
      <c r="A130" s="6">
        <v>45951</v>
      </c>
      <c r="B130" s="14">
        <v>408</v>
      </c>
      <c r="C130" s="4">
        <v>423</v>
      </c>
      <c r="D130" s="4">
        <v>406</v>
      </c>
      <c r="E130" s="4">
        <v>140.5</v>
      </c>
      <c r="F130" s="4">
        <v>267073.99</v>
      </c>
      <c r="G130" s="4">
        <v>209304.43</v>
      </c>
      <c r="H130" s="4">
        <v>7.98</v>
      </c>
    </row>
    <row r="131" spans="1:8" x14ac:dyDescent="0.35">
      <c r="A131" s="7">
        <v>45952</v>
      </c>
      <c r="B131" s="14">
        <v>451</v>
      </c>
      <c r="C131" s="5">
        <v>453</v>
      </c>
      <c r="D131" s="4">
        <v>625</v>
      </c>
      <c r="E131" s="5">
        <v>141.6</v>
      </c>
      <c r="F131" s="5">
        <v>255278</v>
      </c>
      <c r="G131" s="5">
        <v>234096.99</v>
      </c>
      <c r="H131" s="5">
        <v>8.48</v>
      </c>
    </row>
    <row r="132" spans="1:8" x14ac:dyDescent="0.35">
      <c r="A132" s="6">
        <v>45971</v>
      </c>
      <c r="B132" s="14">
        <v>314</v>
      </c>
      <c r="C132" s="4">
        <v>335</v>
      </c>
      <c r="D132" s="4">
        <v>327</v>
      </c>
      <c r="E132" s="4">
        <v>123.8</v>
      </c>
      <c r="F132" s="4">
        <v>187433</v>
      </c>
      <c r="G132" s="4">
        <v>69313.17</v>
      </c>
      <c r="H132" s="4">
        <v>11.08</v>
      </c>
    </row>
    <row r="133" spans="1:8" x14ac:dyDescent="0.35">
      <c r="A133" s="7">
        <v>45972</v>
      </c>
      <c r="B133" s="14">
        <v>523</v>
      </c>
      <c r="C133" s="5">
        <v>591</v>
      </c>
      <c r="D133" s="4">
        <v>553</v>
      </c>
      <c r="E133" s="5">
        <v>125.5</v>
      </c>
      <c r="F133" s="5">
        <v>198526.99</v>
      </c>
      <c r="G133" s="5">
        <v>80562.17</v>
      </c>
      <c r="H133" s="5">
        <v>12.92</v>
      </c>
    </row>
    <row r="134" spans="1:8" x14ac:dyDescent="0.35">
      <c r="A134" s="6">
        <v>45973</v>
      </c>
      <c r="B134" s="14">
        <v>423</v>
      </c>
      <c r="C134" s="4">
        <v>445</v>
      </c>
      <c r="D134" s="4">
        <v>453</v>
      </c>
      <c r="E134" s="4">
        <v>127.2</v>
      </c>
      <c r="F134" s="4">
        <v>199371.98</v>
      </c>
      <c r="G134" s="4">
        <v>90787.83</v>
      </c>
      <c r="H134" s="4">
        <v>11.38</v>
      </c>
    </row>
    <row r="135" spans="1:8" x14ac:dyDescent="0.35">
      <c r="A135" s="7">
        <v>45974</v>
      </c>
      <c r="B135" s="14">
        <v>603</v>
      </c>
      <c r="C135" s="5">
        <v>625</v>
      </c>
      <c r="D135" s="4">
        <v>605</v>
      </c>
      <c r="E135" s="5">
        <v>128.80000000000001</v>
      </c>
      <c r="F135" s="5">
        <v>202022.31</v>
      </c>
      <c r="G135" s="5">
        <v>103559.17</v>
      </c>
      <c r="H135" s="5">
        <v>10.38</v>
      </c>
    </row>
    <row r="136" spans="1:8" x14ac:dyDescent="0.35">
      <c r="A136" s="6">
        <v>45975</v>
      </c>
      <c r="B136" s="14">
        <v>621</v>
      </c>
      <c r="C136" s="4">
        <v>612</v>
      </c>
      <c r="D136" s="4">
        <v>618</v>
      </c>
      <c r="E136" s="4">
        <v>130.5</v>
      </c>
      <c r="F136" s="4">
        <v>209098.63800000001</v>
      </c>
      <c r="G136" s="4">
        <v>109225.5</v>
      </c>
      <c r="H136" s="4">
        <v>10.220000000000001</v>
      </c>
    </row>
    <row r="137" spans="1:8" x14ac:dyDescent="0.35">
      <c r="A137" s="7">
        <v>45976</v>
      </c>
      <c r="B137" s="14">
        <v>591</v>
      </c>
      <c r="C137" s="5">
        <v>609</v>
      </c>
      <c r="D137" s="4">
        <v>592</v>
      </c>
      <c r="E137" s="5">
        <v>132</v>
      </c>
      <c r="F137" s="5">
        <v>219246.98300000001</v>
      </c>
      <c r="G137" s="5">
        <v>139549</v>
      </c>
      <c r="H137" s="5">
        <v>9.5399999999999991</v>
      </c>
    </row>
    <row r="138" spans="1:8" x14ac:dyDescent="0.35">
      <c r="A138" s="6">
        <v>45977</v>
      </c>
      <c r="B138" s="14">
        <v>674</v>
      </c>
      <c r="C138" s="4">
        <v>697</v>
      </c>
      <c r="D138" s="4">
        <v>689</v>
      </c>
      <c r="E138" s="4">
        <v>133.6</v>
      </c>
      <c r="F138" s="4">
        <v>230495.31299999999</v>
      </c>
      <c r="G138" s="4">
        <v>166919.82999999999</v>
      </c>
      <c r="H138" s="4">
        <v>9.07</v>
      </c>
    </row>
    <row r="139" spans="1:8" x14ac:dyDescent="0.35">
      <c r="A139" s="7">
        <v>45978</v>
      </c>
      <c r="B139" s="14">
        <v>664</v>
      </c>
      <c r="C139" s="5">
        <v>689</v>
      </c>
      <c r="D139" s="4">
        <v>681</v>
      </c>
      <c r="E139" s="5">
        <v>135.19999999999999</v>
      </c>
      <c r="F139" s="5">
        <v>248749.296</v>
      </c>
      <c r="G139" s="5">
        <v>155068.70000000001</v>
      </c>
      <c r="H139" s="5">
        <v>8.58</v>
      </c>
    </row>
    <row r="140" spans="1:8" x14ac:dyDescent="0.35">
      <c r="A140" s="6">
        <v>45979</v>
      </c>
      <c r="B140" s="14">
        <v>673</v>
      </c>
      <c r="C140" s="4">
        <v>691</v>
      </c>
      <c r="D140" s="4">
        <v>702</v>
      </c>
      <c r="E140" s="4">
        <v>136.69999999999999</v>
      </c>
      <c r="F140" s="4">
        <v>265734.62800000003</v>
      </c>
      <c r="G140" s="4">
        <v>150712.04</v>
      </c>
      <c r="H140" s="4">
        <v>8.08</v>
      </c>
    </row>
    <row r="141" spans="1:8" x14ac:dyDescent="0.35">
      <c r="A141" s="7">
        <v>45980</v>
      </c>
      <c r="B141" s="14">
        <v>531</v>
      </c>
      <c r="C141" s="5">
        <v>771</v>
      </c>
      <c r="D141" s="4">
        <v>750</v>
      </c>
      <c r="E141" s="5">
        <v>138.1</v>
      </c>
      <c r="F141" s="5">
        <v>265288.95299999998</v>
      </c>
      <c r="G141" s="5">
        <v>152474.5</v>
      </c>
      <c r="H141" s="5">
        <v>7.17</v>
      </c>
    </row>
    <row r="142" spans="1:8" x14ac:dyDescent="0.35">
      <c r="A142" s="6">
        <v>45981</v>
      </c>
      <c r="B142" s="14">
        <v>717</v>
      </c>
      <c r="C142" s="4">
        <v>731</v>
      </c>
      <c r="D142" s="4">
        <v>784</v>
      </c>
      <c r="E142" s="4">
        <v>139.4</v>
      </c>
      <c r="F142" s="4">
        <v>293751.033</v>
      </c>
      <c r="G142" s="4">
        <v>184408.67</v>
      </c>
      <c r="H142" s="4">
        <v>7.5</v>
      </c>
    </row>
    <row r="143" spans="1:8" x14ac:dyDescent="0.35">
      <c r="A143" s="7">
        <v>45982</v>
      </c>
      <c r="B143" s="14">
        <v>843</v>
      </c>
      <c r="C143" s="5">
        <v>830</v>
      </c>
      <c r="D143" s="4">
        <v>858</v>
      </c>
      <c r="E143" s="5">
        <v>140.6</v>
      </c>
      <c r="F143" s="5">
        <v>290810.32</v>
      </c>
      <c r="G143" s="5">
        <v>211370.47</v>
      </c>
      <c r="H143" s="5">
        <v>8.02</v>
      </c>
    </row>
    <row r="144" spans="1:8" x14ac:dyDescent="0.35">
      <c r="A144" s="6">
        <v>45983</v>
      </c>
      <c r="B144" s="14">
        <v>895</v>
      </c>
      <c r="C144" s="4">
        <v>903</v>
      </c>
      <c r="D144" s="4">
        <v>900</v>
      </c>
      <c r="E144" s="4">
        <v>141.69999999999999</v>
      </c>
      <c r="F144" s="4">
        <v>254004.67</v>
      </c>
      <c r="G144" s="4">
        <v>236163.04</v>
      </c>
      <c r="H144" s="4">
        <v>8.6</v>
      </c>
    </row>
    <row r="145" spans="1:8" x14ac:dyDescent="0.35">
      <c r="A145" s="7">
        <v>46001</v>
      </c>
      <c r="B145" s="14">
        <v>400</v>
      </c>
      <c r="C145" s="5">
        <v>458</v>
      </c>
      <c r="D145" s="4">
        <v>423</v>
      </c>
      <c r="E145" s="5">
        <v>123.9</v>
      </c>
      <c r="F145" s="5">
        <v>192736</v>
      </c>
      <c r="G145" s="5">
        <v>70213.08</v>
      </c>
      <c r="H145" s="5">
        <v>11.17</v>
      </c>
    </row>
    <row r="146" spans="1:8" x14ac:dyDescent="0.35">
      <c r="A146" s="6">
        <v>46002</v>
      </c>
      <c r="B146" s="14">
        <v>520</v>
      </c>
      <c r="C146" s="4">
        <v>548</v>
      </c>
      <c r="D146" s="4">
        <v>531</v>
      </c>
      <c r="E146" s="4">
        <v>125.6</v>
      </c>
      <c r="F146" s="4">
        <v>201329.99</v>
      </c>
      <c r="G146" s="4">
        <v>81507.08</v>
      </c>
      <c r="H146" s="4">
        <v>13.08</v>
      </c>
    </row>
    <row r="147" spans="1:8" x14ac:dyDescent="0.35">
      <c r="A147" s="7">
        <v>46003</v>
      </c>
      <c r="B147" s="14">
        <v>569</v>
      </c>
      <c r="C147" s="5">
        <v>589</v>
      </c>
      <c r="D147" s="4">
        <v>576</v>
      </c>
      <c r="E147" s="5">
        <v>127.3</v>
      </c>
      <c r="F147" s="5">
        <v>204674.98</v>
      </c>
      <c r="G147" s="5">
        <v>91621.42</v>
      </c>
      <c r="H147" s="5">
        <v>11.19</v>
      </c>
    </row>
    <row r="148" spans="1:8" x14ac:dyDescent="0.35">
      <c r="A148" s="6">
        <v>46004</v>
      </c>
      <c r="B148" s="14">
        <v>614</v>
      </c>
      <c r="C148" s="4">
        <v>600</v>
      </c>
      <c r="D148" s="4">
        <v>610</v>
      </c>
      <c r="E148" s="4">
        <v>129</v>
      </c>
      <c r="F148" s="4">
        <v>205574.64</v>
      </c>
      <c r="G148" s="4">
        <v>104669.59</v>
      </c>
      <c r="H148" s="4">
        <v>10.31</v>
      </c>
    </row>
    <row r="149" spans="1:8" x14ac:dyDescent="0.35">
      <c r="A149" s="7">
        <v>46005</v>
      </c>
      <c r="B149" s="14">
        <v>530</v>
      </c>
      <c r="C149" s="5">
        <v>575</v>
      </c>
      <c r="D149" s="4">
        <v>538</v>
      </c>
      <c r="E149" s="5">
        <v>130.6</v>
      </c>
      <c r="F149" s="5">
        <v>211639.30499999999</v>
      </c>
      <c r="G149" s="5">
        <v>109608.34</v>
      </c>
      <c r="H149" s="5">
        <v>10.220000000000001</v>
      </c>
    </row>
    <row r="150" spans="1:8" x14ac:dyDescent="0.35">
      <c r="A150" s="6">
        <v>46006</v>
      </c>
      <c r="B150" s="14">
        <v>522</v>
      </c>
      <c r="C150" s="4">
        <v>529</v>
      </c>
      <c r="D150" s="4">
        <v>524</v>
      </c>
      <c r="E150" s="4">
        <v>132.1</v>
      </c>
      <c r="F150" s="4">
        <v>222044.98300000001</v>
      </c>
      <c r="G150" s="4">
        <v>142466.5</v>
      </c>
      <c r="H150" s="4">
        <v>9.4700000000000006</v>
      </c>
    </row>
    <row r="151" spans="1:8" x14ac:dyDescent="0.35">
      <c r="A151" s="7">
        <v>46007</v>
      </c>
      <c r="B151" s="14">
        <v>614</v>
      </c>
      <c r="C151" s="5">
        <v>644</v>
      </c>
      <c r="D151" s="4">
        <v>634</v>
      </c>
      <c r="E151" s="5">
        <v>133.69999999999999</v>
      </c>
      <c r="F151" s="5">
        <v>228563.64300000001</v>
      </c>
      <c r="G151" s="5">
        <v>169073.41</v>
      </c>
      <c r="H151" s="5">
        <v>9.0299999999999994</v>
      </c>
    </row>
    <row r="152" spans="1:8" x14ac:dyDescent="0.35">
      <c r="A152" s="6">
        <v>46008</v>
      </c>
      <c r="B152" s="14">
        <v>681</v>
      </c>
      <c r="C152" s="4">
        <v>704</v>
      </c>
      <c r="D152" s="4">
        <v>710</v>
      </c>
      <c r="E152" s="4">
        <v>135.30000000000001</v>
      </c>
      <c r="F152" s="4">
        <v>253507.62899999999</v>
      </c>
      <c r="G152" s="4">
        <v>153452.87</v>
      </c>
      <c r="H152" s="4">
        <v>8.5399999999999991</v>
      </c>
    </row>
    <row r="153" spans="1:8" x14ac:dyDescent="0.35">
      <c r="A153" s="7">
        <v>46009</v>
      </c>
      <c r="B153" s="14">
        <v>721</v>
      </c>
      <c r="C153" s="5">
        <v>736</v>
      </c>
      <c r="D153" s="4">
        <v>752</v>
      </c>
      <c r="E153" s="5">
        <v>136.80000000000001</v>
      </c>
      <c r="F153" s="5">
        <v>270481.29499999998</v>
      </c>
      <c r="G153" s="5">
        <v>150587.04</v>
      </c>
      <c r="H153" s="5">
        <v>8.0399999999999991</v>
      </c>
    </row>
    <row r="154" spans="1:8" x14ac:dyDescent="0.35">
      <c r="A154" s="6">
        <v>46010</v>
      </c>
      <c r="B154" s="14">
        <v>537</v>
      </c>
      <c r="C154" s="4">
        <v>691</v>
      </c>
      <c r="D154" s="4">
        <v>686</v>
      </c>
      <c r="E154" s="4">
        <v>138.19999999999999</v>
      </c>
      <c r="F154" s="4">
        <v>272869.95299999998</v>
      </c>
      <c r="G154" s="4">
        <v>152688.25</v>
      </c>
      <c r="H154" s="4">
        <v>7.08</v>
      </c>
    </row>
    <row r="155" spans="1:8" x14ac:dyDescent="0.35">
      <c r="A155" s="7">
        <v>46011</v>
      </c>
      <c r="B155" s="14">
        <v>665</v>
      </c>
      <c r="C155" s="5">
        <v>691</v>
      </c>
      <c r="D155" s="4">
        <v>685</v>
      </c>
      <c r="E155" s="5">
        <v>139.5</v>
      </c>
      <c r="F155" s="5">
        <v>312750.033</v>
      </c>
      <c r="G155" s="5">
        <v>187559.34</v>
      </c>
      <c r="H155" s="5">
        <v>7.55</v>
      </c>
    </row>
    <row r="156" spans="1:8" ht="15" thickBot="1" x14ac:dyDescent="0.4">
      <c r="A156" s="8">
        <v>46012</v>
      </c>
      <c r="B156" s="16">
        <v>858</v>
      </c>
      <c r="C156" s="17">
        <v>894</v>
      </c>
      <c r="D156" s="9">
        <v>885</v>
      </c>
      <c r="E156" s="9">
        <v>140.69999999999999</v>
      </c>
      <c r="F156" s="9">
        <v>314546.65000000002</v>
      </c>
      <c r="G156" s="9">
        <v>213436.52</v>
      </c>
      <c r="H156" s="9">
        <v>8.06</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F16C3-F3A9-466A-B885-9AEE137E9822}">
  <dimension ref="A1:R156"/>
  <sheetViews>
    <sheetView tabSelected="1" zoomScale="77" zoomScaleNormal="77" workbookViewId="0">
      <selection activeCell="L6" sqref="L6"/>
    </sheetView>
  </sheetViews>
  <sheetFormatPr defaultRowHeight="14.5" x14ac:dyDescent="0.35"/>
  <cols>
    <col min="2" max="2" width="12.7265625" customWidth="1"/>
    <col min="4" max="4" width="12.08984375" customWidth="1"/>
    <col min="5" max="5" width="12" customWidth="1"/>
    <col min="7" max="7" width="14.54296875" customWidth="1"/>
    <col min="8" max="8" width="13.453125" customWidth="1"/>
    <col min="10" max="10" width="55.26953125" customWidth="1"/>
    <col min="11" max="11" width="17" customWidth="1"/>
    <col min="12" max="12" width="14.36328125" customWidth="1"/>
    <col min="13" max="13" width="12.54296875" customWidth="1"/>
    <col min="14" max="14" width="13.90625" customWidth="1"/>
    <col min="15" max="15" width="14.7265625" customWidth="1"/>
    <col min="16" max="16" width="13.453125" customWidth="1"/>
    <col min="17" max="17" width="14.6328125" customWidth="1"/>
    <col min="18" max="18" width="19" customWidth="1"/>
  </cols>
  <sheetData>
    <row r="1" spans="1:15" x14ac:dyDescent="0.35">
      <c r="A1" t="s">
        <v>53</v>
      </c>
      <c r="B1" t="s">
        <v>1</v>
      </c>
      <c r="C1" t="s">
        <v>20</v>
      </c>
      <c r="D1" t="s">
        <v>0</v>
      </c>
      <c r="E1" t="s">
        <v>2</v>
      </c>
      <c r="F1" t="s">
        <v>3</v>
      </c>
      <c r="G1" t="s">
        <v>21</v>
      </c>
      <c r="H1" t="s">
        <v>4</v>
      </c>
    </row>
    <row r="2" spans="1:15" x14ac:dyDescent="0.35">
      <c r="A2" s="6">
        <v>45667</v>
      </c>
      <c r="B2" s="18">
        <v>346</v>
      </c>
      <c r="C2" s="14">
        <v>322</v>
      </c>
      <c r="D2" s="4">
        <v>347</v>
      </c>
      <c r="E2" s="4">
        <v>122.4</v>
      </c>
      <c r="F2" s="4">
        <v>182277</v>
      </c>
      <c r="G2" s="4">
        <v>60314</v>
      </c>
      <c r="H2" s="4">
        <v>10.25</v>
      </c>
      <c r="J2" t="s">
        <v>60</v>
      </c>
    </row>
    <row r="3" spans="1:15" ht="15" thickBot="1" x14ac:dyDescent="0.4">
      <c r="A3" s="7">
        <v>45668</v>
      </c>
      <c r="B3" s="4">
        <v>354</v>
      </c>
      <c r="C3" s="14">
        <v>374</v>
      </c>
      <c r="D3" s="5">
        <v>391</v>
      </c>
      <c r="E3" s="5">
        <v>124.1</v>
      </c>
      <c r="F3" s="5">
        <v>198039</v>
      </c>
      <c r="G3" s="5">
        <v>71113</v>
      </c>
      <c r="H3" s="5">
        <v>11.25</v>
      </c>
    </row>
    <row r="4" spans="1:15" x14ac:dyDescent="0.35">
      <c r="A4" s="6">
        <v>45669</v>
      </c>
      <c r="B4" s="4">
        <v>570</v>
      </c>
      <c r="C4" s="14">
        <v>565</v>
      </c>
      <c r="D4" s="4">
        <v>560</v>
      </c>
      <c r="E4" s="4">
        <v>125.8</v>
      </c>
      <c r="F4" s="4">
        <v>204132.99</v>
      </c>
      <c r="G4" s="4">
        <v>82452</v>
      </c>
      <c r="H4" s="4">
        <v>13.25</v>
      </c>
      <c r="J4" s="13" t="s">
        <v>23</v>
      </c>
      <c r="K4" s="13"/>
    </row>
    <row r="5" spans="1:15" x14ac:dyDescent="0.35">
      <c r="A5" s="7">
        <v>45670</v>
      </c>
      <c r="B5" s="4">
        <v>580</v>
      </c>
      <c r="C5" s="14">
        <v>580</v>
      </c>
      <c r="D5" s="5">
        <v>591</v>
      </c>
      <c r="E5" s="5">
        <v>127.4</v>
      </c>
      <c r="F5" s="5">
        <v>209977.98</v>
      </c>
      <c r="G5" s="5">
        <v>92455</v>
      </c>
      <c r="H5" s="5">
        <v>11</v>
      </c>
      <c r="J5" s="10" t="s">
        <v>24</v>
      </c>
      <c r="K5" s="10">
        <v>0.44077627976399308</v>
      </c>
    </row>
    <row r="6" spans="1:15" x14ac:dyDescent="0.35">
      <c r="A6" s="6">
        <v>45671</v>
      </c>
      <c r="B6" s="4">
        <v>600</v>
      </c>
      <c r="C6" s="14">
        <v>584</v>
      </c>
      <c r="D6" s="4">
        <v>592</v>
      </c>
      <c r="E6" s="4">
        <v>129.1</v>
      </c>
      <c r="F6" s="4">
        <v>209126.97</v>
      </c>
      <c r="G6" s="4">
        <v>105780</v>
      </c>
      <c r="H6" s="4">
        <v>10.25</v>
      </c>
      <c r="J6" s="10" t="s">
        <v>25</v>
      </c>
      <c r="K6" s="10">
        <v>0.1942837288025859</v>
      </c>
      <c r="L6" t="s">
        <v>61</v>
      </c>
    </row>
    <row r="7" spans="1:15" x14ac:dyDescent="0.35">
      <c r="A7" s="7">
        <v>45672</v>
      </c>
      <c r="B7" s="4">
        <v>531</v>
      </c>
      <c r="C7" s="14">
        <v>503</v>
      </c>
      <c r="D7" s="5">
        <v>531</v>
      </c>
      <c r="E7" s="5">
        <v>130.69999999999999</v>
      </c>
      <c r="F7" s="5">
        <v>214179.97200000001</v>
      </c>
      <c r="G7" s="5">
        <v>110374</v>
      </c>
      <c r="H7" s="5">
        <v>10.220000000000001</v>
      </c>
      <c r="J7" s="10" t="s">
        <v>26</v>
      </c>
      <c r="K7" s="10">
        <v>0.18361199011122942</v>
      </c>
    </row>
    <row r="8" spans="1:15" x14ac:dyDescent="0.35">
      <c r="A8" s="6">
        <v>45673</v>
      </c>
      <c r="B8" s="4">
        <v>575</v>
      </c>
      <c r="C8" s="14">
        <v>574</v>
      </c>
      <c r="D8" s="4">
        <v>583</v>
      </c>
      <c r="E8" s="4">
        <v>132.30000000000001</v>
      </c>
      <c r="F8" s="4">
        <v>224842.98300000001</v>
      </c>
      <c r="G8" s="4">
        <v>145384</v>
      </c>
      <c r="H8" s="4">
        <v>9.4</v>
      </c>
      <c r="J8" s="10" t="s">
        <v>27</v>
      </c>
      <c r="K8" s="10">
        <v>1.4761798409882747</v>
      </c>
    </row>
    <row r="9" spans="1:15" ht="15" thickBot="1" x14ac:dyDescent="0.4">
      <c r="A9" s="7">
        <v>45674</v>
      </c>
      <c r="B9" s="4">
        <v>708</v>
      </c>
      <c r="C9" s="14">
        <v>700</v>
      </c>
      <c r="D9" s="5">
        <v>721</v>
      </c>
      <c r="E9" s="5">
        <v>133.9</v>
      </c>
      <c r="F9" s="5">
        <v>226631.973</v>
      </c>
      <c r="G9" s="5">
        <v>171227</v>
      </c>
      <c r="H9" s="5">
        <v>9</v>
      </c>
      <c r="J9" s="11" t="s">
        <v>28</v>
      </c>
      <c r="K9" s="11">
        <v>154</v>
      </c>
    </row>
    <row r="10" spans="1:15" x14ac:dyDescent="0.35">
      <c r="A10" s="6">
        <v>45675</v>
      </c>
      <c r="B10" s="4">
        <v>783</v>
      </c>
      <c r="C10" s="14">
        <v>734</v>
      </c>
      <c r="D10" s="4">
        <v>755</v>
      </c>
      <c r="E10" s="4">
        <v>135.4</v>
      </c>
      <c r="F10" s="4">
        <v>258265.962</v>
      </c>
      <c r="G10" s="4">
        <v>151837.04</v>
      </c>
      <c r="H10" s="4">
        <v>8.5</v>
      </c>
    </row>
    <row r="11" spans="1:15" ht="15" thickBot="1" x14ac:dyDescent="0.4">
      <c r="A11" s="7">
        <v>45676</v>
      </c>
      <c r="B11" s="4">
        <v>764</v>
      </c>
      <c r="C11" s="14">
        <v>771</v>
      </c>
      <c r="D11" s="5">
        <v>791</v>
      </c>
      <c r="E11" s="5">
        <v>136.9</v>
      </c>
      <c r="F11" s="5">
        <v>275227.962</v>
      </c>
      <c r="G11" s="5">
        <v>150337</v>
      </c>
      <c r="H11" s="5">
        <v>8</v>
      </c>
      <c r="J11" t="s">
        <v>29</v>
      </c>
    </row>
    <row r="12" spans="1:15" x14ac:dyDescent="0.35">
      <c r="A12" s="6">
        <v>45677</v>
      </c>
      <c r="B12" s="4">
        <v>686</v>
      </c>
      <c r="C12" s="14">
        <v>514</v>
      </c>
      <c r="D12" s="4">
        <v>675</v>
      </c>
      <c r="E12" s="4">
        <v>138.30000000000001</v>
      </c>
      <c r="F12" s="4">
        <v>280450.95299999998</v>
      </c>
      <c r="G12" s="4">
        <v>152902</v>
      </c>
      <c r="H12" s="4">
        <v>7</v>
      </c>
      <c r="J12" s="12"/>
      <c r="K12" s="12" t="s">
        <v>34</v>
      </c>
      <c r="L12" s="12" t="s">
        <v>35</v>
      </c>
      <c r="M12" s="12" t="s">
        <v>36</v>
      </c>
      <c r="N12" s="12" t="s">
        <v>37</v>
      </c>
      <c r="O12" s="12" t="s">
        <v>38</v>
      </c>
    </row>
    <row r="13" spans="1:15" x14ac:dyDescent="0.35">
      <c r="A13" s="7">
        <v>45678</v>
      </c>
      <c r="B13" s="4">
        <v>810</v>
      </c>
      <c r="C13" s="14">
        <v>809</v>
      </c>
      <c r="D13" s="5">
        <v>821</v>
      </c>
      <c r="E13" s="5">
        <v>139.6</v>
      </c>
      <c r="F13" s="5">
        <v>331749.033</v>
      </c>
      <c r="G13" s="5">
        <v>190710</v>
      </c>
      <c r="H13" s="5">
        <v>7.6</v>
      </c>
      <c r="J13" s="10" t="s">
        <v>30</v>
      </c>
      <c r="K13" s="10">
        <v>2</v>
      </c>
      <c r="L13" s="10">
        <v>79.343213077592964</v>
      </c>
      <c r="M13" s="10">
        <v>39.671606538796482</v>
      </c>
      <c r="N13" s="10">
        <v>18.205442845030024</v>
      </c>
      <c r="O13" s="10">
        <v>8.2556472975471365E-8</v>
      </c>
    </row>
    <row r="14" spans="1:15" x14ac:dyDescent="0.35">
      <c r="A14" s="6">
        <v>45679</v>
      </c>
      <c r="B14" s="4">
        <v>835</v>
      </c>
      <c r="C14" s="14">
        <v>823</v>
      </c>
      <c r="D14" s="4">
        <v>825</v>
      </c>
      <c r="E14" s="4">
        <v>140.80000000000001</v>
      </c>
      <c r="F14" s="4">
        <v>338282.98</v>
      </c>
      <c r="G14" s="4">
        <v>215502.57</v>
      </c>
      <c r="H14" s="4">
        <v>8.1</v>
      </c>
      <c r="J14" s="10" t="s">
        <v>31</v>
      </c>
      <c r="K14" s="10">
        <v>151</v>
      </c>
      <c r="L14" s="10">
        <v>329.04514536396539</v>
      </c>
      <c r="M14" s="10">
        <v>2.1791069229401683</v>
      </c>
      <c r="N14" s="10"/>
      <c r="O14" s="10"/>
    </row>
    <row r="15" spans="1:15" ht="15" thickBot="1" x14ac:dyDescent="0.4">
      <c r="A15" s="7">
        <v>45698</v>
      </c>
      <c r="B15" s="4">
        <v>338</v>
      </c>
      <c r="C15" s="14">
        <v>285</v>
      </c>
      <c r="D15" s="5">
        <v>306</v>
      </c>
      <c r="E15" s="5">
        <v>122.5</v>
      </c>
      <c r="F15" s="5">
        <v>181018</v>
      </c>
      <c r="G15" s="5">
        <v>61213.919999999998</v>
      </c>
      <c r="H15" s="5">
        <v>10.33</v>
      </c>
      <c r="J15" s="11" t="s">
        <v>32</v>
      </c>
      <c r="K15" s="11">
        <v>153</v>
      </c>
      <c r="L15" s="11">
        <v>408.38835844155835</v>
      </c>
      <c r="M15" s="11"/>
      <c r="N15" s="11"/>
      <c r="O15" s="11"/>
    </row>
    <row r="16" spans="1:15" ht="15" thickBot="1" x14ac:dyDescent="0.4">
      <c r="A16" s="6">
        <v>45699</v>
      </c>
      <c r="B16" s="4">
        <v>378</v>
      </c>
      <c r="C16" s="14">
        <v>344</v>
      </c>
      <c r="D16" s="4">
        <v>397</v>
      </c>
      <c r="E16" s="4">
        <v>124.2</v>
      </c>
      <c r="F16" s="4">
        <v>194285</v>
      </c>
      <c r="G16" s="4">
        <v>72057.919999999998</v>
      </c>
      <c r="H16" s="4">
        <v>11.42</v>
      </c>
    </row>
    <row r="17" spans="1:18" x14ac:dyDescent="0.35">
      <c r="A17" s="7">
        <v>45700</v>
      </c>
      <c r="B17" s="4">
        <v>532</v>
      </c>
      <c r="C17" s="14">
        <v>523</v>
      </c>
      <c r="D17" s="5">
        <v>538</v>
      </c>
      <c r="E17" s="5">
        <v>125.9</v>
      </c>
      <c r="F17" s="5">
        <v>199377.32</v>
      </c>
      <c r="G17" s="5">
        <v>83285.58</v>
      </c>
      <c r="H17" s="5">
        <v>13.06</v>
      </c>
      <c r="J17" s="12"/>
      <c r="K17" s="12" t="s">
        <v>39</v>
      </c>
      <c r="L17" s="12" t="s">
        <v>27</v>
      </c>
      <c r="M17" s="12" t="s">
        <v>40</v>
      </c>
      <c r="N17" s="12" t="s">
        <v>41</v>
      </c>
      <c r="O17" s="12" t="s">
        <v>42</v>
      </c>
      <c r="P17" s="12" t="s">
        <v>43</v>
      </c>
      <c r="Q17" s="12" t="s">
        <v>44</v>
      </c>
      <c r="R17" s="12" t="s">
        <v>45</v>
      </c>
    </row>
    <row r="18" spans="1:18" x14ac:dyDescent="0.35">
      <c r="A18" s="6">
        <v>45701</v>
      </c>
      <c r="B18" s="4">
        <v>591</v>
      </c>
      <c r="C18" s="14">
        <v>591</v>
      </c>
      <c r="D18" s="4">
        <v>593</v>
      </c>
      <c r="E18" s="4">
        <v>127.6</v>
      </c>
      <c r="F18" s="4">
        <v>206223.98</v>
      </c>
      <c r="G18" s="4">
        <v>93565.42</v>
      </c>
      <c r="H18" s="4">
        <v>10.94</v>
      </c>
      <c r="J18" s="10" t="s">
        <v>33</v>
      </c>
      <c r="K18" s="10">
        <v>11.125620870321868</v>
      </c>
      <c r="L18" s="10">
        <v>0.34063383327722607</v>
      </c>
      <c r="M18" s="10">
        <v>32.661526200385502</v>
      </c>
      <c r="N18" s="10">
        <v>2.4689814070917919E-70</v>
      </c>
      <c r="O18" s="10">
        <v>10.452596909116746</v>
      </c>
      <c r="P18" s="10">
        <v>11.798644831526989</v>
      </c>
      <c r="Q18" s="10">
        <v>10.452596909116746</v>
      </c>
      <c r="R18" s="10">
        <v>11.798644831526989</v>
      </c>
    </row>
    <row r="19" spans="1:18" x14ac:dyDescent="0.35">
      <c r="A19" s="7">
        <v>45702</v>
      </c>
      <c r="B19" s="4">
        <v>600</v>
      </c>
      <c r="C19" s="14">
        <v>590</v>
      </c>
      <c r="D19" s="5">
        <v>611</v>
      </c>
      <c r="E19" s="5">
        <v>129.19999999999999</v>
      </c>
      <c r="F19" s="5">
        <v>209277.64</v>
      </c>
      <c r="G19" s="5">
        <v>106162.84</v>
      </c>
      <c r="H19" s="5">
        <v>10.25</v>
      </c>
      <c r="J19" s="10">
        <v>346</v>
      </c>
      <c r="K19" s="10">
        <v>-9.7345479012100871E-3</v>
      </c>
      <c r="L19" s="10">
        <v>2.4282954880316798E-3</v>
      </c>
      <c r="M19" s="10">
        <v>-4.0087987434761025</v>
      </c>
      <c r="N19" s="10">
        <v>9.5610974531609233E-5</v>
      </c>
      <c r="O19" s="10">
        <v>-1.4532371513175033E-2</v>
      </c>
      <c r="P19" s="10">
        <v>-4.9367242892451426E-3</v>
      </c>
      <c r="Q19" s="10">
        <v>-1.4532371513175033E-2</v>
      </c>
      <c r="R19" s="10">
        <v>-4.9367242892451426E-3</v>
      </c>
    </row>
    <row r="20" spans="1:18" ht="15" thickBot="1" x14ac:dyDescent="0.4">
      <c r="A20" s="6">
        <v>45703</v>
      </c>
      <c r="B20" s="4">
        <v>384.6</v>
      </c>
      <c r="C20" s="14">
        <v>651</v>
      </c>
      <c r="D20" s="4">
        <v>663</v>
      </c>
      <c r="E20" s="4">
        <v>130.9</v>
      </c>
      <c r="F20" s="4">
        <v>215537.639</v>
      </c>
      <c r="G20" s="4">
        <v>113291.5</v>
      </c>
      <c r="H20" s="4">
        <v>10.15</v>
      </c>
      <c r="J20" s="11">
        <v>322</v>
      </c>
      <c r="K20" s="11">
        <v>6.3284609052440509E-3</v>
      </c>
      <c r="L20" s="11">
        <v>2.4986698525518466E-3</v>
      </c>
      <c r="M20" s="11">
        <v>2.532731924860304</v>
      </c>
      <c r="N20" s="11">
        <v>1.2338819902570809E-2</v>
      </c>
      <c r="O20" s="11">
        <v>1.3915916995957895E-3</v>
      </c>
      <c r="P20" s="11">
        <v>1.1265330110892313E-2</v>
      </c>
      <c r="Q20" s="11">
        <v>1.3915916995957895E-3</v>
      </c>
      <c r="R20" s="11">
        <v>1.1265330110892313E-2</v>
      </c>
    </row>
    <row r="21" spans="1:18" x14ac:dyDescent="0.35">
      <c r="A21" s="7">
        <v>45704</v>
      </c>
      <c r="B21" s="4">
        <v>512</v>
      </c>
      <c r="C21" s="14">
        <v>512</v>
      </c>
      <c r="D21" s="5">
        <v>520</v>
      </c>
      <c r="E21" s="5">
        <v>132.4</v>
      </c>
      <c r="F21" s="5">
        <v>228075.65</v>
      </c>
      <c r="G21" s="5">
        <v>147537.57999999999</v>
      </c>
      <c r="H21" s="5">
        <v>9.3699999999999992</v>
      </c>
    </row>
    <row r="22" spans="1:18" x14ac:dyDescent="0.35">
      <c r="A22" s="6">
        <v>45705</v>
      </c>
      <c r="B22" s="4">
        <v>702</v>
      </c>
      <c r="C22" s="14">
        <v>700</v>
      </c>
      <c r="D22" s="4">
        <v>705</v>
      </c>
      <c r="E22" s="4">
        <v>134</v>
      </c>
      <c r="F22" s="4">
        <v>229554.973</v>
      </c>
      <c r="G22" s="4">
        <v>169611.17</v>
      </c>
      <c r="H22" s="4">
        <v>8.9600000000000009</v>
      </c>
    </row>
    <row r="23" spans="1:18" x14ac:dyDescent="0.35">
      <c r="A23" s="7">
        <v>45706</v>
      </c>
      <c r="B23" s="4">
        <v>722</v>
      </c>
      <c r="C23" s="14">
        <v>689</v>
      </c>
      <c r="D23" s="5">
        <v>701</v>
      </c>
      <c r="E23" s="5">
        <v>135.5</v>
      </c>
      <c r="F23" s="5">
        <v>255961.962</v>
      </c>
      <c r="G23" s="5">
        <v>151712.04</v>
      </c>
      <c r="H23" s="5">
        <v>8.4600000000000009</v>
      </c>
    </row>
    <row r="24" spans="1:18" x14ac:dyDescent="0.35">
      <c r="A24" s="6">
        <v>45707</v>
      </c>
      <c r="B24" s="4">
        <v>787</v>
      </c>
      <c r="C24" s="14">
        <v>786</v>
      </c>
      <c r="D24" s="4">
        <v>777</v>
      </c>
      <c r="E24" s="4">
        <v>137</v>
      </c>
      <c r="F24" s="4">
        <v>270061.29200000002</v>
      </c>
      <c r="G24" s="4">
        <v>150550.75</v>
      </c>
      <c r="H24" s="4">
        <v>7.92</v>
      </c>
    </row>
    <row r="25" spans="1:18" x14ac:dyDescent="0.35">
      <c r="A25" s="7">
        <v>45708</v>
      </c>
      <c r="B25" s="4">
        <v>684</v>
      </c>
      <c r="C25" s="14">
        <v>578</v>
      </c>
      <c r="D25" s="5">
        <v>700</v>
      </c>
      <c r="E25" s="5">
        <v>138.4</v>
      </c>
      <c r="F25" s="5">
        <v>230779.65299999999</v>
      </c>
      <c r="G25" s="5">
        <v>156052.67000000001</v>
      </c>
      <c r="H25" s="5">
        <v>7.05</v>
      </c>
    </row>
    <row r="26" spans="1:18" x14ac:dyDescent="0.35">
      <c r="A26" s="6">
        <v>45709</v>
      </c>
      <c r="B26" s="4">
        <v>802</v>
      </c>
      <c r="C26" s="14">
        <v>829</v>
      </c>
      <c r="D26" s="4">
        <v>811</v>
      </c>
      <c r="E26" s="4">
        <v>139.69999999999999</v>
      </c>
      <c r="F26" s="4">
        <v>296221.43300000002</v>
      </c>
      <c r="G26" s="4">
        <v>192776.05</v>
      </c>
      <c r="H26" s="4">
        <v>7.64</v>
      </c>
    </row>
    <row r="27" spans="1:18" x14ac:dyDescent="0.35">
      <c r="A27" s="7">
        <v>45710</v>
      </c>
      <c r="B27" s="4">
        <v>853</v>
      </c>
      <c r="C27" s="14">
        <v>836</v>
      </c>
      <c r="D27" s="5">
        <v>848</v>
      </c>
      <c r="E27" s="5">
        <v>140.80000000000001</v>
      </c>
      <c r="F27" s="5">
        <v>313161.38</v>
      </c>
      <c r="G27" s="5">
        <v>217568.62</v>
      </c>
      <c r="H27" s="5">
        <v>8.14</v>
      </c>
    </row>
    <row r="28" spans="1:18" x14ac:dyDescent="0.35">
      <c r="A28" s="6">
        <v>45726</v>
      </c>
      <c r="B28" s="4">
        <v>276</v>
      </c>
      <c r="C28" s="14">
        <v>245</v>
      </c>
      <c r="D28" s="4">
        <v>236</v>
      </c>
      <c r="E28" s="4">
        <v>122.6</v>
      </c>
      <c r="F28" s="4">
        <v>179759</v>
      </c>
      <c r="G28" s="4">
        <v>62113.83</v>
      </c>
      <c r="H28" s="4">
        <v>10.42</v>
      </c>
    </row>
    <row r="29" spans="1:18" x14ac:dyDescent="0.35">
      <c r="A29" s="7">
        <v>45727</v>
      </c>
      <c r="B29" s="4">
        <v>325</v>
      </c>
      <c r="C29" s="14">
        <v>300</v>
      </c>
      <c r="D29" s="5">
        <v>306</v>
      </c>
      <c r="E29" s="5">
        <v>124.3</v>
      </c>
      <c r="F29" s="5">
        <v>190531</v>
      </c>
      <c r="G29" s="5">
        <v>73002.83</v>
      </c>
      <c r="H29" s="5">
        <v>11.58</v>
      </c>
    </row>
    <row r="30" spans="1:18" x14ac:dyDescent="0.35">
      <c r="A30" s="6">
        <v>45728</v>
      </c>
      <c r="B30" s="4">
        <v>386</v>
      </c>
      <c r="C30" s="14">
        <v>403</v>
      </c>
      <c r="D30" s="4">
        <v>347</v>
      </c>
      <c r="E30" s="4">
        <v>126</v>
      </c>
      <c r="F30" s="4">
        <v>194621.65</v>
      </c>
      <c r="G30" s="4">
        <v>84119.17</v>
      </c>
      <c r="H30" s="4">
        <v>12.88</v>
      </c>
    </row>
    <row r="31" spans="1:18" x14ac:dyDescent="0.35">
      <c r="A31" s="7">
        <v>45729</v>
      </c>
      <c r="B31" s="4">
        <v>403</v>
      </c>
      <c r="C31" s="14">
        <v>404</v>
      </c>
      <c r="D31" s="5">
        <v>400</v>
      </c>
      <c r="E31" s="5">
        <v>127.7</v>
      </c>
      <c r="F31" s="5">
        <v>202469.98</v>
      </c>
      <c r="G31" s="5">
        <v>94675.83</v>
      </c>
      <c r="H31" s="5">
        <v>10.88</v>
      </c>
    </row>
    <row r="32" spans="1:18" x14ac:dyDescent="0.35">
      <c r="A32" s="6">
        <v>45730</v>
      </c>
      <c r="B32" s="4">
        <v>422</v>
      </c>
      <c r="C32" s="14">
        <v>412</v>
      </c>
      <c r="D32" s="4">
        <v>437</v>
      </c>
      <c r="E32" s="4">
        <v>129.4</v>
      </c>
      <c r="F32" s="4">
        <v>209428.31</v>
      </c>
      <c r="G32" s="4">
        <v>106545.67</v>
      </c>
      <c r="H32" s="4">
        <v>10.24</v>
      </c>
    </row>
    <row r="33" spans="1:8" x14ac:dyDescent="0.35">
      <c r="A33" s="7">
        <v>45731</v>
      </c>
      <c r="B33" s="4">
        <v>374.6</v>
      </c>
      <c r="C33" s="14">
        <v>380</v>
      </c>
      <c r="D33" s="5">
        <v>400</v>
      </c>
      <c r="E33" s="5">
        <v>131</v>
      </c>
      <c r="F33" s="5">
        <v>216895.30600000001</v>
      </c>
      <c r="G33" s="5">
        <v>116209</v>
      </c>
      <c r="H33" s="5">
        <v>10.08</v>
      </c>
    </row>
    <row r="34" spans="1:8" x14ac:dyDescent="0.35">
      <c r="A34" s="6">
        <v>45732</v>
      </c>
      <c r="B34" s="4">
        <v>372</v>
      </c>
      <c r="C34" s="14">
        <v>322</v>
      </c>
      <c r="D34" s="4">
        <v>381</v>
      </c>
      <c r="E34" s="4">
        <v>132.5</v>
      </c>
      <c r="F34" s="4">
        <v>231308.31700000001</v>
      </c>
      <c r="G34" s="4">
        <v>149691.17000000001</v>
      </c>
      <c r="H34" s="4">
        <v>9.33</v>
      </c>
    </row>
    <row r="35" spans="1:8" x14ac:dyDescent="0.35">
      <c r="A35" s="7">
        <v>45733</v>
      </c>
      <c r="B35" s="4">
        <v>354</v>
      </c>
      <c r="C35" s="14">
        <v>350</v>
      </c>
      <c r="D35" s="5">
        <v>380</v>
      </c>
      <c r="E35" s="5">
        <v>134.1</v>
      </c>
      <c r="F35" s="5">
        <v>232477.973</v>
      </c>
      <c r="G35" s="5">
        <v>167995.34</v>
      </c>
      <c r="H35" s="5">
        <v>8.92</v>
      </c>
    </row>
    <row r="36" spans="1:8" x14ac:dyDescent="0.35">
      <c r="A36" s="6">
        <v>45734</v>
      </c>
      <c r="B36" s="4">
        <v>449</v>
      </c>
      <c r="C36" s="14">
        <v>421</v>
      </c>
      <c r="D36" s="4">
        <v>429</v>
      </c>
      <c r="E36" s="4">
        <v>135.69999999999999</v>
      </c>
      <c r="F36" s="4">
        <v>253657.962</v>
      </c>
      <c r="G36" s="4">
        <v>151587.04</v>
      </c>
      <c r="H36" s="4">
        <v>8.42</v>
      </c>
    </row>
    <row r="37" spans="1:8" x14ac:dyDescent="0.35">
      <c r="A37" s="7">
        <v>45735</v>
      </c>
      <c r="B37" s="4">
        <v>343</v>
      </c>
      <c r="C37" s="14">
        <v>434</v>
      </c>
      <c r="D37" s="5">
        <v>445</v>
      </c>
      <c r="E37" s="5">
        <v>137.1</v>
      </c>
      <c r="F37" s="5">
        <v>264894.62199999997</v>
      </c>
      <c r="G37" s="5">
        <v>150764.5</v>
      </c>
      <c r="H37" s="5">
        <v>7.83</v>
      </c>
    </row>
    <row r="38" spans="1:8" x14ac:dyDescent="0.35">
      <c r="A38" s="6">
        <v>45736</v>
      </c>
      <c r="B38" s="4">
        <v>486</v>
      </c>
      <c r="C38" s="14">
        <v>500</v>
      </c>
      <c r="D38" s="4">
        <v>419</v>
      </c>
      <c r="E38" s="4">
        <v>138.5</v>
      </c>
      <c r="F38" s="4">
        <v>181108.353</v>
      </c>
      <c r="G38" s="4">
        <v>159203.32999999999</v>
      </c>
      <c r="H38" s="4">
        <v>7.1</v>
      </c>
    </row>
    <row r="39" spans="1:8" x14ac:dyDescent="0.35">
      <c r="A39" s="7">
        <v>45737</v>
      </c>
      <c r="B39" s="4">
        <v>524</v>
      </c>
      <c r="C39" s="14">
        <v>511</v>
      </c>
      <c r="D39" s="5">
        <v>467</v>
      </c>
      <c r="E39" s="5">
        <v>139.80000000000001</v>
      </c>
      <c r="F39" s="5">
        <v>260693.83300000001</v>
      </c>
      <c r="G39" s="5">
        <v>194842.1</v>
      </c>
      <c r="H39" s="5">
        <v>7.68</v>
      </c>
    </row>
    <row r="40" spans="1:8" x14ac:dyDescent="0.35">
      <c r="A40" s="6">
        <v>45738</v>
      </c>
      <c r="B40" s="4">
        <v>625</v>
      </c>
      <c r="C40" s="14">
        <v>514</v>
      </c>
      <c r="D40" s="4">
        <v>531</v>
      </c>
      <c r="E40" s="4">
        <v>140.9</v>
      </c>
      <c r="F40" s="4">
        <v>288039.67999999999</v>
      </c>
      <c r="G40" s="4">
        <v>219634.66</v>
      </c>
      <c r="H40" s="4">
        <v>8.18</v>
      </c>
    </row>
    <row r="41" spans="1:8" x14ac:dyDescent="0.35">
      <c r="A41" s="7">
        <v>45757</v>
      </c>
      <c r="B41" s="4">
        <v>245</v>
      </c>
      <c r="C41" s="14">
        <v>212</v>
      </c>
      <c r="D41" s="5">
        <v>234</v>
      </c>
      <c r="E41" s="5">
        <v>122.8</v>
      </c>
      <c r="F41" s="5">
        <v>178500</v>
      </c>
      <c r="G41" s="5">
        <v>63013.75</v>
      </c>
      <c r="H41" s="5">
        <v>10.5</v>
      </c>
    </row>
    <row r="42" spans="1:8" x14ac:dyDescent="0.35">
      <c r="A42" s="6">
        <v>45758</v>
      </c>
      <c r="B42" s="4">
        <v>336</v>
      </c>
      <c r="C42" s="14">
        <v>323</v>
      </c>
      <c r="D42" s="4">
        <v>313</v>
      </c>
      <c r="E42" s="4">
        <v>124.5</v>
      </c>
      <c r="F42" s="4">
        <v>186777</v>
      </c>
      <c r="G42" s="4">
        <v>73947.75</v>
      </c>
      <c r="H42" s="4">
        <v>11.75</v>
      </c>
    </row>
    <row r="43" spans="1:8" x14ac:dyDescent="0.35">
      <c r="A43" s="7">
        <v>45759</v>
      </c>
      <c r="B43" s="4">
        <v>353</v>
      </c>
      <c r="C43" s="14">
        <v>334</v>
      </c>
      <c r="D43" s="5">
        <v>366</v>
      </c>
      <c r="E43" s="5">
        <v>126.2</v>
      </c>
      <c r="F43" s="5">
        <v>189865.98</v>
      </c>
      <c r="G43" s="5">
        <v>84952.75</v>
      </c>
      <c r="H43" s="5">
        <v>12.69</v>
      </c>
    </row>
    <row r="44" spans="1:8" x14ac:dyDescent="0.35">
      <c r="A44" s="6">
        <v>45760</v>
      </c>
      <c r="B44" s="4">
        <v>419</v>
      </c>
      <c r="C44" s="14">
        <v>414</v>
      </c>
      <c r="D44" s="4">
        <v>425</v>
      </c>
      <c r="E44" s="4">
        <v>127.9</v>
      </c>
      <c r="F44" s="4">
        <v>198715.98</v>
      </c>
      <c r="G44" s="4">
        <v>95786.25</v>
      </c>
      <c r="H44" s="4">
        <v>10.81</v>
      </c>
    </row>
    <row r="45" spans="1:8" x14ac:dyDescent="0.35">
      <c r="A45" s="7">
        <v>45761</v>
      </c>
      <c r="B45" s="4">
        <v>408</v>
      </c>
      <c r="C45" s="14">
        <v>403</v>
      </c>
      <c r="D45" s="5">
        <v>413</v>
      </c>
      <c r="E45" s="5">
        <v>129.5</v>
      </c>
      <c r="F45" s="5">
        <v>209578.98</v>
      </c>
      <c r="G45" s="5">
        <v>106545.67</v>
      </c>
      <c r="H45" s="5">
        <v>10.24</v>
      </c>
    </row>
    <row r="46" spans="1:8" x14ac:dyDescent="0.35">
      <c r="A46" s="6">
        <v>45762</v>
      </c>
      <c r="B46" s="4">
        <v>364.7</v>
      </c>
      <c r="C46" s="14">
        <v>380</v>
      </c>
      <c r="D46" s="4">
        <v>392</v>
      </c>
      <c r="E46" s="4">
        <v>131.1</v>
      </c>
      <c r="F46" s="4">
        <v>218252.973</v>
      </c>
      <c r="G46" s="4">
        <v>119126.5</v>
      </c>
      <c r="H46" s="4">
        <v>10.01</v>
      </c>
    </row>
    <row r="47" spans="1:8" x14ac:dyDescent="0.35">
      <c r="A47" s="7">
        <v>45763</v>
      </c>
      <c r="B47" s="4">
        <v>369</v>
      </c>
      <c r="C47" s="14">
        <v>356</v>
      </c>
      <c r="D47" s="5">
        <v>399</v>
      </c>
      <c r="E47" s="5">
        <v>132.69999999999999</v>
      </c>
      <c r="F47" s="5">
        <v>234540.984</v>
      </c>
      <c r="G47" s="5">
        <v>151844.75</v>
      </c>
      <c r="H47" s="5">
        <v>9.3000000000000007</v>
      </c>
    </row>
    <row r="48" spans="1:8" x14ac:dyDescent="0.35">
      <c r="A48" s="6">
        <v>45764</v>
      </c>
      <c r="B48" s="4">
        <v>345</v>
      </c>
      <c r="C48" s="14">
        <v>348</v>
      </c>
      <c r="D48" s="4">
        <v>370</v>
      </c>
      <c r="E48" s="4">
        <v>134.19999999999999</v>
      </c>
      <c r="F48" s="4">
        <v>235400.973</v>
      </c>
      <c r="G48" s="4">
        <v>166379.51</v>
      </c>
      <c r="H48" s="4">
        <v>8.8699999999999992</v>
      </c>
    </row>
    <row r="49" spans="1:8" x14ac:dyDescent="0.35">
      <c r="A49" s="7">
        <v>45765</v>
      </c>
      <c r="B49" s="4">
        <v>448</v>
      </c>
      <c r="C49" s="14">
        <v>414</v>
      </c>
      <c r="D49" s="5">
        <v>422</v>
      </c>
      <c r="E49" s="5">
        <v>135.80000000000001</v>
      </c>
      <c r="F49" s="5">
        <v>251353.962</v>
      </c>
      <c r="G49" s="5">
        <v>151587.04</v>
      </c>
      <c r="H49" s="5">
        <v>8.3699999999999992</v>
      </c>
    </row>
    <row r="50" spans="1:8" x14ac:dyDescent="0.35">
      <c r="A50" s="6">
        <v>45766</v>
      </c>
      <c r="B50" s="4">
        <v>453</v>
      </c>
      <c r="C50" s="14">
        <v>311</v>
      </c>
      <c r="D50" s="4">
        <v>464</v>
      </c>
      <c r="E50" s="4">
        <v>137.30000000000001</v>
      </c>
      <c r="F50" s="4">
        <v>259727.95199999999</v>
      </c>
      <c r="G50" s="4">
        <v>150978.25</v>
      </c>
      <c r="H50" s="4">
        <v>7.75</v>
      </c>
    </row>
    <row r="51" spans="1:8" x14ac:dyDescent="0.35">
      <c r="A51" s="7">
        <v>45767</v>
      </c>
      <c r="B51" s="4">
        <v>408</v>
      </c>
      <c r="C51" s="14">
        <v>414</v>
      </c>
      <c r="D51" s="5">
        <v>399</v>
      </c>
      <c r="E51" s="5">
        <v>138.6</v>
      </c>
      <c r="F51" s="5">
        <v>131437.05300000001</v>
      </c>
      <c r="G51" s="5">
        <v>162354</v>
      </c>
      <c r="H51" s="5">
        <v>7.15</v>
      </c>
    </row>
    <row r="52" spans="1:8" x14ac:dyDescent="0.35">
      <c r="A52" s="6">
        <v>45768</v>
      </c>
      <c r="B52" s="4">
        <v>435</v>
      </c>
      <c r="C52" s="14">
        <v>423</v>
      </c>
      <c r="D52" s="4">
        <v>440</v>
      </c>
      <c r="E52" s="4">
        <v>139.9</v>
      </c>
      <c r="F52" s="4">
        <v>225166</v>
      </c>
      <c r="G52" s="4">
        <v>196908.15</v>
      </c>
      <c r="H52" s="4">
        <v>7.73</v>
      </c>
    </row>
    <row r="53" spans="1:8" x14ac:dyDescent="0.35">
      <c r="A53" s="7">
        <v>45769</v>
      </c>
      <c r="B53" s="4">
        <v>495</v>
      </c>
      <c r="C53" s="14">
        <v>477</v>
      </c>
      <c r="D53" s="5">
        <v>487</v>
      </c>
      <c r="E53" s="5">
        <v>141</v>
      </c>
      <c r="F53" s="5">
        <v>262917.98</v>
      </c>
      <c r="G53" s="5">
        <v>221700.71</v>
      </c>
      <c r="H53" s="5">
        <v>8.23</v>
      </c>
    </row>
    <row r="54" spans="1:8" x14ac:dyDescent="0.35">
      <c r="A54" s="6">
        <v>45787</v>
      </c>
      <c r="B54" s="4">
        <v>312</v>
      </c>
      <c r="C54" s="14">
        <v>289</v>
      </c>
      <c r="D54" s="4">
        <v>296</v>
      </c>
      <c r="E54" s="4">
        <v>122.9</v>
      </c>
      <c r="F54" s="4">
        <v>177354</v>
      </c>
      <c r="G54" s="4">
        <v>63913.67</v>
      </c>
      <c r="H54" s="4">
        <v>10.58</v>
      </c>
    </row>
    <row r="55" spans="1:8" x14ac:dyDescent="0.35">
      <c r="A55" s="7">
        <v>45788</v>
      </c>
      <c r="B55" s="4">
        <v>284</v>
      </c>
      <c r="C55" s="14">
        <v>292</v>
      </c>
      <c r="D55" s="5">
        <v>315</v>
      </c>
      <c r="E55" s="5">
        <v>124.6</v>
      </c>
      <c r="F55" s="5">
        <v>188085</v>
      </c>
      <c r="G55" s="5">
        <v>74892.67</v>
      </c>
      <c r="H55" s="5">
        <v>11.92</v>
      </c>
    </row>
    <row r="56" spans="1:8" x14ac:dyDescent="0.35">
      <c r="A56" s="6">
        <v>45789</v>
      </c>
      <c r="B56" s="4">
        <v>349</v>
      </c>
      <c r="C56" s="14">
        <v>350</v>
      </c>
      <c r="D56" s="4">
        <v>386</v>
      </c>
      <c r="E56" s="4">
        <v>126.3</v>
      </c>
      <c r="F56" s="4">
        <v>188622.98</v>
      </c>
      <c r="G56" s="4">
        <v>85786.33</v>
      </c>
      <c r="H56" s="4">
        <v>12.5</v>
      </c>
    </row>
    <row r="57" spans="1:8" x14ac:dyDescent="0.35">
      <c r="A57" s="7">
        <v>45790</v>
      </c>
      <c r="B57" s="4">
        <v>392</v>
      </c>
      <c r="C57" s="14">
        <v>375</v>
      </c>
      <c r="D57" s="5">
        <v>401</v>
      </c>
      <c r="E57" s="5">
        <v>128</v>
      </c>
      <c r="F57" s="5">
        <v>197296.65</v>
      </c>
      <c r="G57" s="5">
        <v>96896.67</v>
      </c>
      <c r="H57" s="5">
        <v>10.75</v>
      </c>
    </row>
    <row r="58" spans="1:8" x14ac:dyDescent="0.35">
      <c r="A58" s="6">
        <v>45791</v>
      </c>
      <c r="B58" s="4">
        <v>398</v>
      </c>
      <c r="C58" s="14">
        <v>397</v>
      </c>
      <c r="D58" s="4">
        <v>411</v>
      </c>
      <c r="E58" s="4">
        <v>129.69999999999999</v>
      </c>
      <c r="F58" s="4">
        <v>208023.31</v>
      </c>
      <c r="G58" s="4">
        <v>106928.5</v>
      </c>
      <c r="H58" s="4">
        <v>10.24</v>
      </c>
    </row>
    <row r="59" spans="1:8" x14ac:dyDescent="0.35">
      <c r="A59" s="7">
        <v>45792</v>
      </c>
      <c r="B59" s="4">
        <v>354.8</v>
      </c>
      <c r="C59" s="14">
        <v>375</v>
      </c>
      <c r="D59" s="5">
        <v>382</v>
      </c>
      <c r="E59" s="5">
        <v>131.19999999999999</v>
      </c>
      <c r="F59" s="5">
        <v>214098.64300000001</v>
      </c>
      <c r="G59" s="5">
        <v>122044</v>
      </c>
      <c r="H59" s="5">
        <v>9.94</v>
      </c>
    </row>
    <row r="60" spans="1:8" x14ac:dyDescent="0.35">
      <c r="A60" s="6">
        <v>45793</v>
      </c>
      <c r="B60" s="4">
        <v>403</v>
      </c>
      <c r="C60" s="14">
        <v>391</v>
      </c>
      <c r="D60" s="4">
        <v>403</v>
      </c>
      <c r="E60" s="4">
        <v>132.80000000000001</v>
      </c>
      <c r="F60" s="4">
        <v>230641.984</v>
      </c>
      <c r="G60" s="4">
        <v>153998.32999999999</v>
      </c>
      <c r="H60" s="4">
        <v>9.27</v>
      </c>
    </row>
    <row r="61" spans="1:8" x14ac:dyDescent="0.35">
      <c r="A61" s="7">
        <v>45794</v>
      </c>
      <c r="B61" s="4">
        <v>322</v>
      </c>
      <c r="C61" s="14">
        <v>334</v>
      </c>
      <c r="D61" s="5">
        <v>361</v>
      </c>
      <c r="E61" s="5">
        <v>134.4</v>
      </c>
      <c r="F61" s="5">
        <v>232482.973</v>
      </c>
      <c r="G61" s="5">
        <v>164763.68</v>
      </c>
      <c r="H61" s="5">
        <v>8.83</v>
      </c>
    </row>
    <row r="62" spans="1:8" x14ac:dyDescent="0.35">
      <c r="A62" s="6">
        <v>45795</v>
      </c>
      <c r="B62" s="4">
        <v>460</v>
      </c>
      <c r="C62" s="14">
        <v>423</v>
      </c>
      <c r="D62" s="4">
        <v>443</v>
      </c>
      <c r="E62" s="4">
        <v>135.9</v>
      </c>
      <c r="F62" s="4">
        <v>247308.962</v>
      </c>
      <c r="G62" s="4">
        <v>151462.04</v>
      </c>
      <c r="H62" s="4">
        <v>8.33</v>
      </c>
    </row>
    <row r="63" spans="1:8" x14ac:dyDescent="0.35">
      <c r="A63" s="7">
        <v>45796</v>
      </c>
      <c r="B63" s="4">
        <v>354</v>
      </c>
      <c r="C63" s="14">
        <v>195</v>
      </c>
      <c r="D63" s="5">
        <v>369</v>
      </c>
      <c r="E63" s="5">
        <v>137.4</v>
      </c>
      <c r="F63" s="5">
        <v>253415.95199999999</v>
      </c>
      <c r="G63" s="5">
        <v>151192</v>
      </c>
      <c r="H63" s="5">
        <v>7.67</v>
      </c>
    </row>
    <row r="64" spans="1:8" x14ac:dyDescent="0.35">
      <c r="A64" s="6">
        <v>45797</v>
      </c>
      <c r="B64" s="4">
        <v>405</v>
      </c>
      <c r="C64" s="14">
        <v>405</v>
      </c>
      <c r="D64" s="4">
        <v>425</v>
      </c>
      <c r="E64" s="4">
        <v>138.80000000000001</v>
      </c>
      <c r="F64" s="4">
        <v>162590.383</v>
      </c>
      <c r="G64" s="4">
        <v>165504.67000000001</v>
      </c>
      <c r="H64" s="4">
        <v>7.2</v>
      </c>
    </row>
    <row r="65" spans="1:8" x14ac:dyDescent="0.35">
      <c r="A65" s="7">
        <v>45798</v>
      </c>
      <c r="B65" s="4">
        <v>428</v>
      </c>
      <c r="C65" s="14">
        <v>439</v>
      </c>
      <c r="D65" s="5">
        <v>489</v>
      </c>
      <c r="E65" s="5">
        <v>140</v>
      </c>
      <c r="F65" s="5">
        <v>231134.33</v>
      </c>
      <c r="G65" s="5">
        <v>198974.19</v>
      </c>
      <c r="H65" s="5">
        <v>7.77</v>
      </c>
    </row>
    <row r="66" spans="1:8" x14ac:dyDescent="0.35">
      <c r="A66" s="6">
        <v>45799</v>
      </c>
      <c r="B66" s="4">
        <v>596</v>
      </c>
      <c r="C66" s="14">
        <v>514</v>
      </c>
      <c r="D66" s="4">
        <v>531</v>
      </c>
      <c r="E66" s="4">
        <v>141.1</v>
      </c>
      <c r="F66" s="4">
        <v>261644.65</v>
      </c>
      <c r="G66" s="4">
        <v>223766.76</v>
      </c>
      <c r="H66" s="4">
        <v>8.27</v>
      </c>
    </row>
    <row r="67" spans="1:8" x14ac:dyDescent="0.35">
      <c r="A67" s="7">
        <v>45818</v>
      </c>
      <c r="B67" s="4">
        <v>215</v>
      </c>
      <c r="C67" s="14">
        <v>212</v>
      </c>
      <c r="D67" s="5">
        <v>224</v>
      </c>
      <c r="E67" s="5">
        <v>123.1</v>
      </c>
      <c r="F67" s="5">
        <v>176208</v>
      </c>
      <c r="G67" s="5">
        <v>64813.58</v>
      </c>
      <c r="H67" s="5">
        <v>10.67</v>
      </c>
    </row>
    <row r="68" spans="1:8" x14ac:dyDescent="0.35">
      <c r="A68" s="6">
        <v>45819</v>
      </c>
      <c r="B68" s="4">
        <v>295</v>
      </c>
      <c r="C68" s="14">
        <v>280</v>
      </c>
      <c r="D68" s="4">
        <v>270</v>
      </c>
      <c r="E68" s="4">
        <v>124.8</v>
      </c>
      <c r="F68" s="4">
        <v>189393</v>
      </c>
      <c r="G68" s="4">
        <v>75837.58</v>
      </c>
      <c r="H68" s="4">
        <v>12.08</v>
      </c>
    </row>
    <row r="69" spans="1:8" x14ac:dyDescent="0.35">
      <c r="A69" s="7">
        <v>45820</v>
      </c>
      <c r="B69" s="4">
        <v>312</v>
      </c>
      <c r="C69" s="14">
        <v>291</v>
      </c>
      <c r="D69" s="5">
        <v>300</v>
      </c>
      <c r="E69" s="5">
        <v>126.5</v>
      </c>
      <c r="F69" s="5">
        <v>187379.98</v>
      </c>
      <c r="G69" s="5">
        <v>86619.92</v>
      </c>
      <c r="H69" s="5">
        <v>12.31</v>
      </c>
    </row>
    <row r="70" spans="1:8" x14ac:dyDescent="0.35">
      <c r="A70" s="6">
        <v>45821</v>
      </c>
      <c r="B70" s="4">
        <v>398</v>
      </c>
      <c r="C70" s="14">
        <v>391</v>
      </c>
      <c r="D70" s="4">
        <v>403</v>
      </c>
      <c r="E70" s="4">
        <v>128.1</v>
      </c>
      <c r="F70" s="4">
        <v>195877.32</v>
      </c>
      <c r="G70" s="4">
        <v>98007.09</v>
      </c>
      <c r="H70" s="4">
        <v>10.69</v>
      </c>
    </row>
    <row r="71" spans="1:8" x14ac:dyDescent="0.35">
      <c r="A71" s="7">
        <v>45822</v>
      </c>
      <c r="B71" s="4">
        <v>426</v>
      </c>
      <c r="C71" s="14">
        <v>423</v>
      </c>
      <c r="D71" s="5">
        <v>435</v>
      </c>
      <c r="E71" s="5">
        <v>129.80000000000001</v>
      </c>
      <c r="F71" s="5">
        <v>206467.64</v>
      </c>
      <c r="G71" s="5">
        <v>107311.34</v>
      </c>
      <c r="H71" s="5">
        <v>10.24</v>
      </c>
    </row>
    <row r="72" spans="1:8" x14ac:dyDescent="0.35">
      <c r="A72" s="6">
        <v>45823</v>
      </c>
      <c r="B72" s="4">
        <v>344.9</v>
      </c>
      <c r="C72" s="14">
        <v>404</v>
      </c>
      <c r="D72" s="4">
        <v>413</v>
      </c>
      <c r="E72" s="4">
        <v>131.4</v>
      </c>
      <c r="F72" s="4">
        <v>209944.31299999999</v>
      </c>
      <c r="G72" s="4">
        <v>124961.5</v>
      </c>
      <c r="H72" s="4">
        <v>9.8800000000000008</v>
      </c>
    </row>
    <row r="73" spans="1:8" x14ac:dyDescent="0.35">
      <c r="A73" s="7">
        <v>45824</v>
      </c>
      <c r="B73" s="4">
        <v>408</v>
      </c>
      <c r="C73" s="14">
        <v>389</v>
      </c>
      <c r="D73" s="5">
        <v>401</v>
      </c>
      <c r="E73" s="5">
        <v>132.9</v>
      </c>
      <c r="F73" s="5">
        <v>226742.984</v>
      </c>
      <c r="G73" s="5">
        <v>156151.92000000001</v>
      </c>
      <c r="H73" s="5">
        <v>9.23</v>
      </c>
    </row>
    <row r="74" spans="1:8" x14ac:dyDescent="0.35">
      <c r="A74" s="6">
        <v>45825</v>
      </c>
      <c r="B74" s="4">
        <v>398</v>
      </c>
      <c r="C74" s="14">
        <v>409</v>
      </c>
      <c r="D74" s="4">
        <v>414</v>
      </c>
      <c r="E74" s="4">
        <v>134.5</v>
      </c>
      <c r="F74" s="4">
        <v>229564.973</v>
      </c>
      <c r="G74" s="4">
        <v>163147.85</v>
      </c>
      <c r="H74" s="4">
        <v>8.7899999999999991</v>
      </c>
    </row>
    <row r="75" spans="1:8" x14ac:dyDescent="0.35">
      <c r="A75" s="7">
        <v>45826</v>
      </c>
      <c r="B75" s="4">
        <v>386</v>
      </c>
      <c r="C75" s="14">
        <v>401</v>
      </c>
      <c r="D75" s="5">
        <v>410</v>
      </c>
      <c r="E75" s="5">
        <v>136</v>
      </c>
      <c r="F75" s="5">
        <v>243263.962</v>
      </c>
      <c r="G75" s="5">
        <v>151337.04</v>
      </c>
      <c r="H75" s="5">
        <v>8.2899999999999991</v>
      </c>
    </row>
    <row r="76" spans="1:8" x14ac:dyDescent="0.35">
      <c r="A76" s="6">
        <v>45827</v>
      </c>
      <c r="B76" s="4">
        <v>360</v>
      </c>
      <c r="C76" s="14">
        <v>200</v>
      </c>
      <c r="D76" s="4">
        <v>323</v>
      </c>
      <c r="E76" s="4">
        <v>137.5</v>
      </c>
      <c r="F76" s="4">
        <v>247103.95199999999</v>
      </c>
      <c r="G76" s="4">
        <v>151405.75</v>
      </c>
      <c r="H76" s="4">
        <v>7.58</v>
      </c>
    </row>
    <row r="77" spans="1:8" x14ac:dyDescent="0.35">
      <c r="A77" s="7">
        <v>45828</v>
      </c>
      <c r="B77" s="4">
        <v>410</v>
      </c>
      <c r="C77" s="14">
        <v>414</v>
      </c>
      <c r="D77" s="5">
        <v>445</v>
      </c>
      <c r="E77" s="5">
        <v>138.9</v>
      </c>
      <c r="F77" s="5">
        <v>193743.71299999999</v>
      </c>
      <c r="G77" s="5">
        <v>168655.34</v>
      </c>
      <c r="H77" s="5">
        <v>7.25</v>
      </c>
    </row>
    <row r="78" spans="1:8" x14ac:dyDescent="0.35">
      <c r="A78" s="6">
        <v>45829</v>
      </c>
      <c r="B78" s="4">
        <v>439</v>
      </c>
      <c r="C78" s="14">
        <v>423</v>
      </c>
      <c r="D78" s="4">
        <v>440</v>
      </c>
      <c r="E78" s="4">
        <v>140.1</v>
      </c>
      <c r="F78" s="4">
        <v>237102.66</v>
      </c>
      <c r="G78" s="4">
        <v>201040.24</v>
      </c>
      <c r="H78" s="4">
        <v>7.81</v>
      </c>
    </row>
    <row r="79" spans="1:8" x14ac:dyDescent="0.35">
      <c r="A79" s="7">
        <v>45830</v>
      </c>
      <c r="B79" s="4">
        <v>685</v>
      </c>
      <c r="C79" s="14">
        <v>574</v>
      </c>
      <c r="D79" s="5">
        <v>586</v>
      </c>
      <c r="E79" s="5">
        <v>141.19999999999999</v>
      </c>
      <c r="F79" s="5">
        <v>260371.32</v>
      </c>
      <c r="G79" s="5">
        <v>225832.8</v>
      </c>
      <c r="H79" s="5">
        <v>8.31</v>
      </c>
    </row>
    <row r="80" spans="1:8" x14ac:dyDescent="0.35">
      <c r="A80" s="6">
        <v>45848</v>
      </c>
      <c r="B80" s="4">
        <v>181</v>
      </c>
      <c r="C80" s="14">
        <v>174</v>
      </c>
      <c r="D80" s="4">
        <v>184</v>
      </c>
      <c r="E80" s="4">
        <v>123.2</v>
      </c>
      <c r="F80" s="4">
        <v>175062</v>
      </c>
      <c r="G80" s="4">
        <v>65713.5</v>
      </c>
      <c r="H80" s="4">
        <v>10.75</v>
      </c>
    </row>
    <row r="81" spans="1:8" x14ac:dyDescent="0.35">
      <c r="A81" s="7">
        <v>45849</v>
      </c>
      <c r="B81" s="4">
        <v>215</v>
      </c>
      <c r="C81" s="14">
        <v>225</v>
      </c>
      <c r="D81" s="5">
        <v>213</v>
      </c>
      <c r="E81" s="5">
        <v>124.9</v>
      </c>
      <c r="F81" s="5">
        <v>190701</v>
      </c>
      <c r="G81" s="5">
        <v>76782.5</v>
      </c>
      <c r="H81" s="5">
        <v>12.25</v>
      </c>
    </row>
    <row r="82" spans="1:8" x14ac:dyDescent="0.35">
      <c r="A82" s="6">
        <v>45850</v>
      </c>
      <c r="B82" s="4">
        <v>259</v>
      </c>
      <c r="C82" s="14">
        <v>236</v>
      </c>
      <c r="D82" s="4">
        <v>234</v>
      </c>
      <c r="E82" s="4">
        <v>126.6</v>
      </c>
      <c r="F82" s="4">
        <v>186136.98</v>
      </c>
      <c r="G82" s="4">
        <v>87453.5</v>
      </c>
      <c r="H82" s="4">
        <v>12.13</v>
      </c>
    </row>
    <row r="83" spans="1:8" x14ac:dyDescent="0.35">
      <c r="A83" s="7">
        <v>45851</v>
      </c>
      <c r="B83" s="4">
        <v>308</v>
      </c>
      <c r="C83" s="14">
        <v>304</v>
      </c>
      <c r="D83" s="5">
        <v>311</v>
      </c>
      <c r="E83" s="5">
        <v>128.30000000000001</v>
      </c>
      <c r="F83" s="5">
        <v>194457.99</v>
      </c>
      <c r="G83" s="5">
        <v>99117.5</v>
      </c>
      <c r="H83" s="5">
        <v>10.63</v>
      </c>
    </row>
    <row r="84" spans="1:8" x14ac:dyDescent="0.35">
      <c r="A84" s="6">
        <v>45852</v>
      </c>
      <c r="B84" s="4">
        <v>312</v>
      </c>
      <c r="C84" s="14">
        <v>313</v>
      </c>
      <c r="D84" s="4">
        <v>325</v>
      </c>
      <c r="E84" s="4">
        <v>129.9</v>
      </c>
      <c r="F84" s="4">
        <v>204911.97</v>
      </c>
      <c r="G84" s="4">
        <v>107694.17</v>
      </c>
      <c r="H84" s="4">
        <v>10.23</v>
      </c>
    </row>
    <row r="85" spans="1:8" x14ac:dyDescent="0.35">
      <c r="A85" s="7">
        <v>45853</v>
      </c>
      <c r="B85" s="4">
        <v>335</v>
      </c>
      <c r="C85" s="14">
        <v>308</v>
      </c>
      <c r="D85" s="5">
        <v>314</v>
      </c>
      <c r="E85" s="5">
        <v>131.5</v>
      </c>
      <c r="F85" s="5">
        <v>205789.98300000001</v>
      </c>
      <c r="G85" s="5">
        <v>127879</v>
      </c>
      <c r="H85" s="5">
        <v>9.81</v>
      </c>
    </row>
    <row r="86" spans="1:8" x14ac:dyDescent="0.35">
      <c r="A86" s="6">
        <v>45854</v>
      </c>
      <c r="B86" s="4">
        <v>379</v>
      </c>
      <c r="C86" s="14">
        <v>369</v>
      </c>
      <c r="D86" s="4">
        <v>380</v>
      </c>
      <c r="E86" s="4">
        <v>133.1</v>
      </c>
      <c r="F86" s="4">
        <v>222843.984</v>
      </c>
      <c r="G86" s="4">
        <v>158305.5</v>
      </c>
      <c r="H86" s="4">
        <v>9.1999999999999993</v>
      </c>
    </row>
    <row r="87" spans="1:8" x14ac:dyDescent="0.35">
      <c r="A87" s="7">
        <v>45855</v>
      </c>
      <c r="B87" s="4">
        <v>295</v>
      </c>
      <c r="C87" s="14">
        <v>303</v>
      </c>
      <c r="D87" s="5">
        <v>323</v>
      </c>
      <c r="E87" s="5">
        <v>134.6</v>
      </c>
      <c r="F87" s="5">
        <v>226646.973</v>
      </c>
      <c r="G87" s="5">
        <v>161532.01999999999</v>
      </c>
      <c r="H87" s="5">
        <v>8.75</v>
      </c>
    </row>
    <row r="88" spans="1:8" x14ac:dyDescent="0.35">
      <c r="A88" s="6">
        <v>45856</v>
      </c>
      <c r="B88" s="4">
        <v>375</v>
      </c>
      <c r="C88" s="14">
        <v>383</v>
      </c>
      <c r="D88" s="4">
        <v>396</v>
      </c>
      <c r="E88" s="4">
        <v>136.19999999999999</v>
      </c>
      <c r="F88" s="4">
        <v>239218.962</v>
      </c>
      <c r="G88" s="4">
        <v>151212.04</v>
      </c>
      <c r="H88" s="4">
        <v>8.25</v>
      </c>
    </row>
    <row r="89" spans="1:8" x14ac:dyDescent="0.35">
      <c r="A89" s="7">
        <v>45857</v>
      </c>
      <c r="B89" s="4">
        <v>310</v>
      </c>
      <c r="C89" s="14">
        <v>256</v>
      </c>
      <c r="D89" s="5">
        <v>360</v>
      </c>
      <c r="E89" s="5">
        <v>137.6</v>
      </c>
      <c r="F89" s="5">
        <v>240791.95199999999</v>
      </c>
      <c r="G89" s="5">
        <v>151619.5</v>
      </c>
      <c r="H89" s="5">
        <v>7.5</v>
      </c>
    </row>
    <row r="90" spans="1:8" x14ac:dyDescent="0.35">
      <c r="A90" s="6">
        <v>45858</v>
      </c>
      <c r="B90" s="4">
        <v>386</v>
      </c>
      <c r="C90" s="14">
        <v>336</v>
      </c>
      <c r="D90" s="4">
        <v>356</v>
      </c>
      <c r="E90" s="4">
        <v>139</v>
      </c>
      <c r="F90" s="4">
        <v>224897.04300000001</v>
      </c>
      <c r="G90" s="4">
        <v>171806</v>
      </c>
      <c r="H90" s="4">
        <v>7.3</v>
      </c>
    </row>
    <row r="91" spans="1:8" x14ac:dyDescent="0.35">
      <c r="A91" s="7">
        <v>45859</v>
      </c>
      <c r="B91" s="4">
        <v>400</v>
      </c>
      <c r="C91" s="14">
        <v>382</v>
      </c>
      <c r="D91" s="5">
        <v>388</v>
      </c>
      <c r="E91" s="5">
        <v>140.19999999999999</v>
      </c>
      <c r="F91" s="5">
        <v>243070.99</v>
      </c>
      <c r="G91" s="5">
        <v>203106.29</v>
      </c>
      <c r="H91" s="5">
        <v>7.85</v>
      </c>
    </row>
    <row r="92" spans="1:8" x14ac:dyDescent="0.35">
      <c r="A92" s="6">
        <v>45860</v>
      </c>
      <c r="B92" s="4">
        <v>547</v>
      </c>
      <c r="C92" s="14">
        <v>430</v>
      </c>
      <c r="D92" s="4">
        <v>434</v>
      </c>
      <c r="E92" s="4">
        <v>141.30000000000001</v>
      </c>
      <c r="F92" s="4">
        <v>259097.99</v>
      </c>
      <c r="G92" s="4">
        <v>227898.85</v>
      </c>
      <c r="H92" s="4">
        <v>8.35</v>
      </c>
    </row>
    <row r="93" spans="1:8" x14ac:dyDescent="0.35">
      <c r="A93" s="7">
        <v>45879</v>
      </c>
      <c r="B93" s="4">
        <v>216</v>
      </c>
      <c r="C93" s="14">
        <v>200</v>
      </c>
      <c r="D93" s="5">
        <v>193</v>
      </c>
      <c r="E93" s="5">
        <v>123.3</v>
      </c>
      <c r="F93" s="5">
        <v>177418</v>
      </c>
      <c r="G93" s="5">
        <v>66613.42</v>
      </c>
      <c r="H93" s="5">
        <v>10.83</v>
      </c>
    </row>
    <row r="94" spans="1:8" x14ac:dyDescent="0.35">
      <c r="A94" s="6">
        <v>45880</v>
      </c>
      <c r="B94" s="4">
        <v>192</v>
      </c>
      <c r="C94" s="14">
        <v>165</v>
      </c>
      <c r="D94" s="4">
        <v>184</v>
      </c>
      <c r="E94" s="4">
        <v>125.1</v>
      </c>
      <c r="F94" s="4">
        <v>192375.33</v>
      </c>
      <c r="G94" s="4">
        <v>77727.42</v>
      </c>
      <c r="H94" s="4">
        <v>12.42</v>
      </c>
    </row>
    <row r="95" spans="1:8" x14ac:dyDescent="0.35">
      <c r="A95" s="7">
        <v>45881</v>
      </c>
      <c r="B95" s="4">
        <v>261</v>
      </c>
      <c r="C95" s="14">
        <v>262</v>
      </c>
      <c r="D95" s="5">
        <v>266</v>
      </c>
      <c r="E95" s="5">
        <v>126.7</v>
      </c>
      <c r="F95" s="5">
        <v>188780.98</v>
      </c>
      <c r="G95" s="5">
        <v>88287.08</v>
      </c>
      <c r="H95" s="5">
        <v>11.94</v>
      </c>
    </row>
    <row r="96" spans="1:8" x14ac:dyDescent="0.35">
      <c r="A96" s="6">
        <v>45882</v>
      </c>
      <c r="B96" s="4">
        <v>221</v>
      </c>
      <c r="C96" s="14">
        <v>221</v>
      </c>
      <c r="D96" s="4">
        <v>291</v>
      </c>
      <c r="E96" s="4">
        <v>128.4</v>
      </c>
      <c r="F96" s="4">
        <v>195795.32</v>
      </c>
      <c r="G96" s="4">
        <v>100227.92</v>
      </c>
      <c r="H96" s="4">
        <v>10.56</v>
      </c>
    </row>
    <row r="97" spans="1:8" x14ac:dyDescent="0.35">
      <c r="A97" s="7">
        <v>45883</v>
      </c>
      <c r="B97" s="4">
        <v>308</v>
      </c>
      <c r="C97" s="14">
        <v>309</v>
      </c>
      <c r="D97" s="5">
        <v>314</v>
      </c>
      <c r="E97" s="5">
        <v>130.1</v>
      </c>
      <c r="F97" s="5">
        <v>205460.63699999999</v>
      </c>
      <c r="G97" s="5">
        <v>108077</v>
      </c>
      <c r="H97" s="5">
        <v>10.23</v>
      </c>
    </row>
    <row r="98" spans="1:8" x14ac:dyDescent="0.35">
      <c r="A98" s="6">
        <v>45884</v>
      </c>
      <c r="B98" s="4">
        <v>325</v>
      </c>
      <c r="C98" s="14">
        <v>314</v>
      </c>
      <c r="D98" s="4">
        <v>323</v>
      </c>
      <c r="E98" s="4">
        <v>131.6</v>
      </c>
      <c r="F98" s="4">
        <v>209342.98300000001</v>
      </c>
      <c r="G98" s="4">
        <v>130796.5</v>
      </c>
      <c r="H98" s="4">
        <v>9.74</v>
      </c>
    </row>
    <row r="99" spans="1:8" x14ac:dyDescent="0.35">
      <c r="A99" s="7">
        <v>45885</v>
      </c>
      <c r="B99" s="4">
        <v>310</v>
      </c>
      <c r="C99" s="14">
        <v>323</v>
      </c>
      <c r="D99" s="5">
        <v>347</v>
      </c>
      <c r="E99" s="5">
        <v>133.19999999999999</v>
      </c>
      <c r="F99" s="5">
        <v>226038.31700000001</v>
      </c>
      <c r="G99" s="5">
        <v>160459.07999999999</v>
      </c>
      <c r="H99" s="5">
        <v>9.17</v>
      </c>
    </row>
    <row r="100" spans="1:8" x14ac:dyDescent="0.35">
      <c r="A100" s="6">
        <v>45886</v>
      </c>
      <c r="B100" s="4">
        <v>296</v>
      </c>
      <c r="C100" s="14">
        <v>348</v>
      </c>
      <c r="D100" s="4">
        <v>321</v>
      </c>
      <c r="E100" s="4">
        <v>134.80000000000001</v>
      </c>
      <c r="F100" s="4">
        <v>232428.30300000001</v>
      </c>
      <c r="G100" s="4">
        <v>159916.19</v>
      </c>
      <c r="H100" s="4">
        <v>8.7100000000000009</v>
      </c>
    </row>
    <row r="101" spans="1:8" x14ac:dyDescent="0.35">
      <c r="A101" s="7">
        <v>45887</v>
      </c>
      <c r="B101" s="4">
        <v>380</v>
      </c>
      <c r="C101" s="14">
        <v>386</v>
      </c>
      <c r="D101" s="5">
        <v>378</v>
      </c>
      <c r="E101" s="5">
        <v>136.30000000000001</v>
      </c>
      <c r="F101" s="5">
        <v>246475.29500000001</v>
      </c>
      <c r="G101" s="5">
        <v>151087.04000000001</v>
      </c>
      <c r="H101" s="5">
        <v>8.2100000000000009</v>
      </c>
    </row>
    <row r="102" spans="1:8" x14ac:dyDescent="0.35">
      <c r="A102" s="6">
        <v>45888</v>
      </c>
      <c r="B102" s="4">
        <v>321</v>
      </c>
      <c r="C102" s="14">
        <v>270</v>
      </c>
      <c r="D102" s="4">
        <v>331</v>
      </c>
      <c r="E102" s="4">
        <v>137.69999999999999</v>
      </c>
      <c r="F102" s="4">
        <v>246430.61900000001</v>
      </c>
      <c r="G102" s="4">
        <v>151833.25</v>
      </c>
      <c r="H102" s="4">
        <v>7.42</v>
      </c>
    </row>
    <row r="103" spans="1:8" x14ac:dyDescent="0.35">
      <c r="A103" s="7">
        <v>45889</v>
      </c>
      <c r="B103" s="4">
        <v>326</v>
      </c>
      <c r="C103" s="14">
        <v>322</v>
      </c>
      <c r="D103" s="5">
        <v>326</v>
      </c>
      <c r="E103" s="5">
        <v>139.1</v>
      </c>
      <c r="F103" s="5">
        <v>241515.37299999999</v>
      </c>
      <c r="G103" s="5">
        <v>174956.67</v>
      </c>
      <c r="H103" s="5">
        <v>7.35</v>
      </c>
    </row>
    <row r="104" spans="1:8" x14ac:dyDescent="0.35">
      <c r="A104" s="6">
        <v>45890</v>
      </c>
      <c r="B104" s="4">
        <v>395</v>
      </c>
      <c r="C104" s="14">
        <v>391</v>
      </c>
      <c r="D104" s="4">
        <v>396</v>
      </c>
      <c r="E104" s="4">
        <v>140.30000000000001</v>
      </c>
      <c r="F104" s="4">
        <v>251071.99</v>
      </c>
      <c r="G104" s="4">
        <v>205172.33</v>
      </c>
      <c r="H104" s="4">
        <v>7.89</v>
      </c>
    </row>
    <row r="105" spans="1:8" x14ac:dyDescent="0.35">
      <c r="A105" s="7">
        <v>45891</v>
      </c>
      <c r="B105" s="4">
        <v>526</v>
      </c>
      <c r="C105" s="14">
        <v>419</v>
      </c>
      <c r="D105" s="5">
        <v>422</v>
      </c>
      <c r="E105" s="5">
        <v>141.4</v>
      </c>
      <c r="F105" s="5">
        <v>257824.66</v>
      </c>
      <c r="G105" s="5">
        <v>229964.9</v>
      </c>
      <c r="H105" s="5">
        <v>8.39</v>
      </c>
    </row>
    <row r="106" spans="1:8" x14ac:dyDescent="0.35">
      <c r="A106" s="6">
        <v>45910</v>
      </c>
      <c r="B106" s="4">
        <v>178</v>
      </c>
      <c r="C106" s="14">
        <v>152</v>
      </c>
      <c r="D106" s="4">
        <v>169</v>
      </c>
      <c r="E106" s="4">
        <v>123.5</v>
      </c>
      <c r="F106" s="4">
        <v>179774</v>
      </c>
      <c r="G106" s="4">
        <v>67513.33</v>
      </c>
      <c r="H106" s="4">
        <v>10.92</v>
      </c>
    </row>
    <row r="107" spans="1:8" x14ac:dyDescent="0.35">
      <c r="A107" s="7">
        <v>45911</v>
      </c>
      <c r="B107" s="4">
        <v>219</v>
      </c>
      <c r="C107" s="14">
        <v>191</v>
      </c>
      <c r="D107" s="5">
        <v>234</v>
      </c>
      <c r="E107" s="5">
        <v>125.2</v>
      </c>
      <c r="F107" s="5">
        <v>194049.66</v>
      </c>
      <c r="G107" s="5">
        <v>78672.33</v>
      </c>
      <c r="H107" s="5">
        <v>12.58</v>
      </c>
    </row>
    <row r="108" spans="1:8" x14ac:dyDescent="0.35">
      <c r="A108" s="6">
        <v>45912</v>
      </c>
      <c r="B108" s="4">
        <v>286</v>
      </c>
      <c r="C108" s="14">
        <v>278</v>
      </c>
      <c r="D108" s="4">
        <v>287</v>
      </c>
      <c r="E108" s="4">
        <v>126.9</v>
      </c>
      <c r="F108" s="4">
        <v>191424.98</v>
      </c>
      <c r="G108" s="4">
        <v>89120.67</v>
      </c>
      <c r="H108" s="4">
        <v>11.75</v>
      </c>
    </row>
    <row r="109" spans="1:8" x14ac:dyDescent="0.35">
      <c r="A109" s="7">
        <v>45913</v>
      </c>
      <c r="B109" s="4">
        <v>335</v>
      </c>
      <c r="C109" s="14">
        <v>344</v>
      </c>
      <c r="D109" s="5">
        <v>323</v>
      </c>
      <c r="E109" s="5">
        <v>128.6</v>
      </c>
      <c r="F109" s="5">
        <v>197132.65</v>
      </c>
      <c r="G109" s="5">
        <v>101338.34</v>
      </c>
      <c r="H109" s="5">
        <v>10.5</v>
      </c>
    </row>
    <row r="110" spans="1:8" x14ac:dyDescent="0.35">
      <c r="A110" s="6">
        <v>45914</v>
      </c>
      <c r="B110" s="4">
        <v>298</v>
      </c>
      <c r="C110" s="14">
        <v>314</v>
      </c>
      <c r="D110" s="4">
        <v>302</v>
      </c>
      <c r="E110" s="4">
        <v>130.19999999999999</v>
      </c>
      <c r="F110" s="4">
        <v>206009.304</v>
      </c>
      <c r="G110" s="4">
        <v>108459.84</v>
      </c>
      <c r="H110" s="4">
        <v>10.23</v>
      </c>
    </row>
    <row r="111" spans="1:8" x14ac:dyDescent="0.35">
      <c r="A111" s="7">
        <v>45915</v>
      </c>
      <c r="B111" s="4">
        <v>325</v>
      </c>
      <c r="C111" s="14">
        <v>343</v>
      </c>
      <c r="D111" s="5">
        <v>311</v>
      </c>
      <c r="E111" s="5">
        <v>131.80000000000001</v>
      </c>
      <c r="F111" s="5">
        <v>212895.98300000001</v>
      </c>
      <c r="G111" s="5">
        <v>133714</v>
      </c>
      <c r="H111" s="5">
        <v>9.67</v>
      </c>
    </row>
    <row r="112" spans="1:8" x14ac:dyDescent="0.35">
      <c r="A112" s="6">
        <v>45916</v>
      </c>
      <c r="B112" s="4">
        <v>329</v>
      </c>
      <c r="C112" s="14">
        <v>304</v>
      </c>
      <c r="D112" s="4">
        <v>314</v>
      </c>
      <c r="E112" s="4">
        <v>133.30000000000001</v>
      </c>
      <c r="F112" s="4">
        <v>229232.65</v>
      </c>
      <c r="G112" s="4">
        <v>162612.66</v>
      </c>
      <c r="H112" s="4">
        <v>9.1300000000000008</v>
      </c>
    </row>
    <row r="113" spans="1:8" x14ac:dyDescent="0.35">
      <c r="A113" s="7">
        <v>45917</v>
      </c>
      <c r="B113" s="4">
        <v>398</v>
      </c>
      <c r="C113" s="14">
        <v>377</v>
      </c>
      <c r="D113" s="5">
        <v>359</v>
      </c>
      <c r="E113" s="5">
        <v>134.9</v>
      </c>
      <c r="F113" s="5">
        <v>238209.633</v>
      </c>
      <c r="G113" s="5">
        <v>158300.35999999999</v>
      </c>
      <c r="H113" s="5">
        <v>8.67</v>
      </c>
    </row>
    <row r="114" spans="1:8" x14ac:dyDescent="0.35">
      <c r="A114" s="6">
        <v>45918</v>
      </c>
      <c r="B114" s="4">
        <v>395</v>
      </c>
      <c r="C114" s="14">
        <v>369</v>
      </c>
      <c r="D114" s="4">
        <v>386</v>
      </c>
      <c r="E114" s="4">
        <v>136.4</v>
      </c>
      <c r="F114" s="4">
        <v>253731.628</v>
      </c>
      <c r="G114" s="4">
        <v>150962.04</v>
      </c>
      <c r="H114" s="4">
        <v>8.17</v>
      </c>
    </row>
    <row r="115" spans="1:8" x14ac:dyDescent="0.35">
      <c r="A115" s="7">
        <v>45919</v>
      </c>
      <c r="B115" s="4">
        <v>315</v>
      </c>
      <c r="C115" s="14">
        <v>260</v>
      </c>
      <c r="D115" s="5">
        <v>333</v>
      </c>
      <c r="E115" s="5">
        <v>137.80000000000001</v>
      </c>
      <c r="F115" s="5">
        <v>252069.28599999999</v>
      </c>
      <c r="G115" s="5">
        <v>152047</v>
      </c>
      <c r="H115" s="5">
        <v>7.33</v>
      </c>
    </row>
    <row r="116" spans="1:8" x14ac:dyDescent="0.35">
      <c r="A116" s="6">
        <v>45920</v>
      </c>
      <c r="B116" s="4">
        <v>388</v>
      </c>
      <c r="C116" s="14">
        <v>423</v>
      </c>
      <c r="D116" s="4">
        <v>388</v>
      </c>
      <c r="E116" s="4">
        <v>139.19999999999999</v>
      </c>
      <c r="F116" s="4">
        <v>258133.70300000001</v>
      </c>
      <c r="G116" s="4">
        <v>178107.34</v>
      </c>
      <c r="H116" s="4">
        <v>7.4</v>
      </c>
    </row>
    <row r="117" spans="1:8" x14ac:dyDescent="0.35">
      <c r="A117" s="7">
        <v>45921</v>
      </c>
      <c r="B117" s="4">
        <v>415</v>
      </c>
      <c r="C117" s="14">
        <v>420</v>
      </c>
      <c r="D117" s="5">
        <v>406</v>
      </c>
      <c r="E117" s="5">
        <v>140.4</v>
      </c>
      <c r="F117" s="5">
        <v>259072.99</v>
      </c>
      <c r="G117" s="5">
        <v>207238.38</v>
      </c>
      <c r="H117" s="5">
        <v>7.93</v>
      </c>
    </row>
    <row r="118" spans="1:8" x14ac:dyDescent="0.35">
      <c r="A118" s="6">
        <v>45922</v>
      </c>
      <c r="B118" s="4">
        <v>502</v>
      </c>
      <c r="C118" s="14">
        <v>431</v>
      </c>
      <c r="D118" s="4">
        <v>433</v>
      </c>
      <c r="E118" s="4">
        <v>141.5</v>
      </c>
      <c r="F118" s="4">
        <v>256551.33</v>
      </c>
      <c r="G118" s="4">
        <v>232030.94</v>
      </c>
      <c r="H118" s="4">
        <v>8.43</v>
      </c>
    </row>
    <row r="119" spans="1:8" x14ac:dyDescent="0.35">
      <c r="A119" s="7">
        <v>45940</v>
      </c>
      <c r="B119" s="4">
        <v>215</v>
      </c>
      <c r="C119" s="14">
        <v>214</v>
      </c>
      <c r="D119" s="5">
        <v>200</v>
      </c>
      <c r="E119" s="5">
        <v>123.6</v>
      </c>
      <c r="F119" s="5">
        <v>182130</v>
      </c>
      <c r="G119" s="5">
        <v>68413.25</v>
      </c>
      <c r="H119" s="5">
        <v>11</v>
      </c>
    </row>
    <row r="120" spans="1:8" x14ac:dyDescent="0.35">
      <c r="A120" s="6">
        <v>45941</v>
      </c>
      <c r="B120" s="4">
        <v>250</v>
      </c>
      <c r="C120" s="14">
        <v>243</v>
      </c>
      <c r="D120" s="4">
        <v>251</v>
      </c>
      <c r="E120" s="4">
        <v>125.3</v>
      </c>
      <c r="F120" s="4">
        <v>195723.99</v>
      </c>
      <c r="G120" s="4">
        <v>79617.25</v>
      </c>
      <c r="H120" s="4">
        <v>12.75</v>
      </c>
    </row>
    <row r="121" spans="1:8" x14ac:dyDescent="0.35">
      <c r="A121" s="7">
        <v>45942</v>
      </c>
      <c r="B121" s="4">
        <v>300</v>
      </c>
      <c r="C121" s="14">
        <v>291</v>
      </c>
      <c r="D121" s="5">
        <v>303</v>
      </c>
      <c r="E121" s="5">
        <v>127</v>
      </c>
      <c r="F121" s="5">
        <v>194068.98</v>
      </c>
      <c r="G121" s="5">
        <v>89954.25</v>
      </c>
      <c r="H121" s="5">
        <v>11.56</v>
      </c>
    </row>
    <row r="122" spans="1:8" x14ac:dyDescent="0.35">
      <c r="A122" s="6">
        <v>45943</v>
      </c>
      <c r="B122" s="4">
        <v>298</v>
      </c>
      <c r="C122" s="14">
        <v>291</v>
      </c>
      <c r="D122" s="4">
        <v>309</v>
      </c>
      <c r="E122" s="4">
        <v>128.69999999999999</v>
      </c>
      <c r="F122" s="4">
        <v>198469.98</v>
      </c>
      <c r="G122" s="4">
        <v>102448.75</v>
      </c>
      <c r="H122" s="4">
        <v>10.44</v>
      </c>
    </row>
    <row r="123" spans="1:8" x14ac:dyDescent="0.35">
      <c r="A123" s="7">
        <v>45944</v>
      </c>
      <c r="B123" s="4">
        <v>285</v>
      </c>
      <c r="C123" s="14">
        <v>301</v>
      </c>
      <c r="D123" s="5">
        <v>300</v>
      </c>
      <c r="E123" s="5">
        <v>130.30000000000001</v>
      </c>
      <c r="F123" s="5">
        <v>206557.97099999999</v>
      </c>
      <c r="G123" s="5">
        <v>108842.67</v>
      </c>
      <c r="H123" s="5">
        <v>10.220000000000001</v>
      </c>
    </row>
    <row r="124" spans="1:8" x14ac:dyDescent="0.35">
      <c r="A124" s="6">
        <v>45945</v>
      </c>
      <c r="B124" s="4">
        <v>316</v>
      </c>
      <c r="C124" s="14">
        <v>313</v>
      </c>
      <c r="D124" s="4">
        <v>318</v>
      </c>
      <c r="E124" s="4">
        <v>131.9</v>
      </c>
      <c r="F124" s="4">
        <v>216448.98300000001</v>
      </c>
      <c r="G124" s="4">
        <v>136631.5</v>
      </c>
      <c r="H124" s="4">
        <v>9.6</v>
      </c>
    </row>
    <row r="125" spans="1:8" x14ac:dyDescent="0.35">
      <c r="A125" s="7">
        <v>45946</v>
      </c>
      <c r="B125" s="4">
        <v>338</v>
      </c>
      <c r="C125" s="14">
        <v>312</v>
      </c>
      <c r="D125" s="5">
        <v>336</v>
      </c>
      <c r="E125" s="5">
        <v>133.5</v>
      </c>
      <c r="F125" s="5">
        <v>232426.98300000001</v>
      </c>
      <c r="G125" s="5">
        <v>164766.25</v>
      </c>
      <c r="H125" s="5">
        <v>9.1</v>
      </c>
    </row>
    <row r="126" spans="1:8" x14ac:dyDescent="0.35">
      <c r="A126" s="6">
        <v>45947</v>
      </c>
      <c r="B126" s="4">
        <v>405</v>
      </c>
      <c r="C126" s="14">
        <v>398</v>
      </c>
      <c r="D126" s="4">
        <v>388</v>
      </c>
      <c r="E126" s="4">
        <v>135</v>
      </c>
      <c r="F126" s="4">
        <v>243990.96299999999</v>
      </c>
      <c r="G126" s="4">
        <v>156684.53</v>
      </c>
      <c r="H126" s="4">
        <v>8.6199999999999992</v>
      </c>
    </row>
    <row r="127" spans="1:8" x14ac:dyDescent="0.35">
      <c r="A127" s="7">
        <v>45948</v>
      </c>
      <c r="B127" s="4">
        <v>425</v>
      </c>
      <c r="C127" s="14">
        <v>391</v>
      </c>
      <c r="D127" s="5">
        <v>396</v>
      </c>
      <c r="E127" s="5">
        <v>136.5</v>
      </c>
      <c r="F127" s="5">
        <v>260987.96100000001</v>
      </c>
      <c r="G127" s="5">
        <v>150837.04</v>
      </c>
      <c r="H127" s="5">
        <v>8.1199999999999992</v>
      </c>
    </row>
    <row r="128" spans="1:8" x14ac:dyDescent="0.35">
      <c r="A128" s="6">
        <v>45949</v>
      </c>
      <c r="B128" s="4">
        <v>358</v>
      </c>
      <c r="C128" s="14">
        <v>281</v>
      </c>
      <c r="D128" s="4">
        <v>366</v>
      </c>
      <c r="E128" s="4">
        <v>138</v>
      </c>
      <c r="F128" s="4">
        <v>257707.95300000001</v>
      </c>
      <c r="G128" s="4">
        <v>152260.75</v>
      </c>
      <c r="H128" s="4">
        <v>7.25</v>
      </c>
    </row>
    <row r="129" spans="1:8" x14ac:dyDescent="0.35">
      <c r="A129" s="7">
        <v>45950</v>
      </c>
      <c r="B129" s="4">
        <v>337</v>
      </c>
      <c r="C129" s="14">
        <v>354</v>
      </c>
      <c r="D129" s="5">
        <v>337</v>
      </c>
      <c r="E129" s="5">
        <v>139.30000000000001</v>
      </c>
      <c r="F129" s="5">
        <v>274752.033</v>
      </c>
      <c r="G129" s="5">
        <v>181258</v>
      </c>
      <c r="H129" s="5">
        <v>7.45</v>
      </c>
    </row>
    <row r="130" spans="1:8" x14ac:dyDescent="0.35">
      <c r="A130" s="6">
        <v>45951</v>
      </c>
      <c r="B130" s="4">
        <v>406</v>
      </c>
      <c r="C130" s="14">
        <v>408</v>
      </c>
      <c r="D130" s="4">
        <v>423</v>
      </c>
      <c r="E130" s="4">
        <v>140.5</v>
      </c>
      <c r="F130" s="4">
        <v>267073.99</v>
      </c>
      <c r="G130" s="4">
        <v>209304.43</v>
      </c>
      <c r="H130" s="4">
        <v>7.98</v>
      </c>
    </row>
    <row r="131" spans="1:8" x14ac:dyDescent="0.35">
      <c r="A131" s="7">
        <v>45952</v>
      </c>
      <c r="B131" s="4">
        <v>625</v>
      </c>
      <c r="C131" s="14">
        <v>451</v>
      </c>
      <c r="D131" s="5">
        <v>453</v>
      </c>
      <c r="E131" s="5">
        <v>141.6</v>
      </c>
      <c r="F131" s="5">
        <v>255278</v>
      </c>
      <c r="G131" s="5">
        <v>234096.99</v>
      </c>
      <c r="H131" s="5">
        <v>8.48</v>
      </c>
    </row>
    <row r="132" spans="1:8" x14ac:dyDescent="0.35">
      <c r="A132" s="6">
        <v>45971</v>
      </c>
      <c r="B132" s="4">
        <v>327</v>
      </c>
      <c r="C132" s="14">
        <v>314</v>
      </c>
      <c r="D132" s="4">
        <v>335</v>
      </c>
      <c r="E132" s="4">
        <v>123.8</v>
      </c>
      <c r="F132" s="4">
        <v>187433</v>
      </c>
      <c r="G132" s="4">
        <v>69313.17</v>
      </c>
      <c r="H132" s="4">
        <v>11.08</v>
      </c>
    </row>
    <row r="133" spans="1:8" x14ac:dyDescent="0.35">
      <c r="A133" s="7">
        <v>45972</v>
      </c>
      <c r="B133" s="4">
        <v>553</v>
      </c>
      <c r="C133" s="14">
        <v>523</v>
      </c>
      <c r="D133" s="5">
        <v>591</v>
      </c>
      <c r="E133" s="5">
        <v>125.5</v>
      </c>
      <c r="F133" s="5">
        <v>198526.99</v>
      </c>
      <c r="G133" s="5">
        <v>80562.17</v>
      </c>
      <c r="H133" s="5">
        <v>12.92</v>
      </c>
    </row>
    <row r="134" spans="1:8" x14ac:dyDescent="0.35">
      <c r="A134" s="6">
        <v>45973</v>
      </c>
      <c r="B134" s="4">
        <v>453</v>
      </c>
      <c r="C134" s="14">
        <v>423</v>
      </c>
      <c r="D134" s="4">
        <v>445</v>
      </c>
      <c r="E134" s="4">
        <v>127.2</v>
      </c>
      <c r="F134" s="4">
        <v>199371.98</v>
      </c>
      <c r="G134" s="4">
        <v>90787.83</v>
      </c>
      <c r="H134" s="4">
        <v>11.38</v>
      </c>
    </row>
    <row r="135" spans="1:8" x14ac:dyDescent="0.35">
      <c r="A135" s="7">
        <v>45974</v>
      </c>
      <c r="B135" s="4">
        <v>605</v>
      </c>
      <c r="C135" s="14">
        <v>603</v>
      </c>
      <c r="D135" s="5">
        <v>625</v>
      </c>
      <c r="E135" s="5">
        <v>128.80000000000001</v>
      </c>
      <c r="F135" s="5">
        <v>202022.31</v>
      </c>
      <c r="G135" s="5">
        <v>103559.17</v>
      </c>
      <c r="H135" s="5">
        <v>10.38</v>
      </c>
    </row>
    <row r="136" spans="1:8" x14ac:dyDescent="0.35">
      <c r="A136" s="6">
        <v>45975</v>
      </c>
      <c r="B136" s="4">
        <v>618</v>
      </c>
      <c r="C136" s="14">
        <v>621</v>
      </c>
      <c r="D136" s="4">
        <v>612</v>
      </c>
      <c r="E136" s="4">
        <v>130.5</v>
      </c>
      <c r="F136" s="4">
        <v>209098.63800000001</v>
      </c>
      <c r="G136" s="4">
        <v>109225.5</v>
      </c>
      <c r="H136" s="4">
        <v>10.220000000000001</v>
      </c>
    </row>
    <row r="137" spans="1:8" x14ac:dyDescent="0.35">
      <c r="A137" s="7">
        <v>45976</v>
      </c>
      <c r="B137" s="4">
        <v>592</v>
      </c>
      <c r="C137" s="14">
        <v>591</v>
      </c>
      <c r="D137" s="5">
        <v>609</v>
      </c>
      <c r="E137" s="5">
        <v>132</v>
      </c>
      <c r="F137" s="5">
        <v>219246.98300000001</v>
      </c>
      <c r="G137" s="5">
        <v>139549</v>
      </c>
      <c r="H137" s="5">
        <v>9.5399999999999991</v>
      </c>
    </row>
    <row r="138" spans="1:8" x14ac:dyDescent="0.35">
      <c r="A138" s="6">
        <v>45977</v>
      </c>
      <c r="B138" s="4">
        <v>689</v>
      </c>
      <c r="C138" s="14">
        <v>674</v>
      </c>
      <c r="D138" s="4">
        <v>697</v>
      </c>
      <c r="E138" s="4">
        <v>133.6</v>
      </c>
      <c r="F138" s="4">
        <v>230495.31299999999</v>
      </c>
      <c r="G138" s="4">
        <v>166919.82999999999</v>
      </c>
      <c r="H138" s="4">
        <v>9.07</v>
      </c>
    </row>
    <row r="139" spans="1:8" x14ac:dyDescent="0.35">
      <c r="A139" s="7">
        <v>45978</v>
      </c>
      <c r="B139" s="4">
        <v>681</v>
      </c>
      <c r="C139" s="14">
        <v>664</v>
      </c>
      <c r="D139" s="5">
        <v>689</v>
      </c>
      <c r="E139" s="5">
        <v>135.19999999999999</v>
      </c>
      <c r="F139" s="5">
        <v>248749.296</v>
      </c>
      <c r="G139" s="5">
        <v>155068.70000000001</v>
      </c>
      <c r="H139" s="5">
        <v>8.58</v>
      </c>
    </row>
    <row r="140" spans="1:8" x14ac:dyDescent="0.35">
      <c r="A140" s="6">
        <v>45979</v>
      </c>
      <c r="B140" s="4">
        <v>702</v>
      </c>
      <c r="C140" s="14">
        <v>673</v>
      </c>
      <c r="D140" s="4">
        <v>691</v>
      </c>
      <c r="E140" s="4">
        <v>136.69999999999999</v>
      </c>
      <c r="F140" s="4">
        <v>265734.62800000003</v>
      </c>
      <c r="G140" s="4">
        <v>150712.04</v>
      </c>
      <c r="H140" s="4">
        <v>8.08</v>
      </c>
    </row>
    <row r="141" spans="1:8" x14ac:dyDescent="0.35">
      <c r="A141" s="7">
        <v>45980</v>
      </c>
      <c r="B141" s="4">
        <v>750</v>
      </c>
      <c r="C141" s="14">
        <v>531</v>
      </c>
      <c r="D141" s="5">
        <v>771</v>
      </c>
      <c r="E141" s="5">
        <v>138.1</v>
      </c>
      <c r="F141" s="5">
        <v>265288.95299999998</v>
      </c>
      <c r="G141" s="5">
        <v>152474.5</v>
      </c>
      <c r="H141" s="5">
        <v>7.17</v>
      </c>
    </row>
    <row r="142" spans="1:8" x14ac:dyDescent="0.35">
      <c r="A142" s="6">
        <v>45981</v>
      </c>
      <c r="B142" s="4">
        <v>784</v>
      </c>
      <c r="C142" s="14">
        <v>717</v>
      </c>
      <c r="D142" s="4">
        <v>731</v>
      </c>
      <c r="E142" s="4">
        <v>139.4</v>
      </c>
      <c r="F142" s="4">
        <v>293751.033</v>
      </c>
      <c r="G142" s="4">
        <v>184408.67</v>
      </c>
      <c r="H142" s="4">
        <v>7.5</v>
      </c>
    </row>
    <row r="143" spans="1:8" x14ac:dyDescent="0.35">
      <c r="A143" s="7">
        <v>45982</v>
      </c>
      <c r="B143" s="4">
        <v>858</v>
      </c>
      <c r="C143" s="14">
        <v>843</v>
      </c>
      <c r="D143" s="5">
        <v>830</v>
      </c>
      <c r="E143" s="5">
        <v>140.6</v>
      </c>
      <c r="F143" s="5">
        <v>290810.32</v>
      </c>
      <c r="G143" s="5">
        <v>211370.47</v>
      </c>
      <c r="H143" s="5">
        <v>8.02</v>
      </c>
    </row>
    <row r="144" spans="1:8" x14ac:dyDescent="0.35">
      <c r="A144" s="6">
        <v>45983</v>
      </c>
      <c r="B144" s="4">
        <v>900</v>
      </c>
      <c r="C144" s="14">
        <v>895</v>
      </c>
      <c r="D144" s="4">
        <v>903</v>
      </c>
      <c r="E144" s="4">
        <v>141.69999999999999</v>
      </c>
      <c r="F144" s="4">
        <v>254004.67</v>
      </c>
      <c r="G144" s="4">
        <v>236163.04</v>
      </c>
      <c r="H144" s="4">
        <v>8.6</v>
      </c>
    </row>
    <row r="145" spans="1:8" x14ac:dyDescent="0.35">
      <c r="A145" s="7">
        <v>46001</v>
      </c>
      <c r="B145" s="4">
        <v>423</v>
      </c>
      <c r="C145" s="14">
        <v>400</v>
      </c>
      <c r="D145" s="5">
        <v>458</v>
      </c>
      <c r="E145" s="5">
        <v>123.9</v>
      </c>
      <c r="F145" s="5">
        <v>192736</v>
      </c>
      <c r="G145" s="5">
        <v>70213.08</v>
      </c>
      <c r="H145" s="5">
        <v>11.17</v>
      </c>
    </row>
    <row r="146" spans="1:8" x14ac:dyDescent="0.35">
      <c r="A146" s="6">
        <v>46002</v>
      </c>
      <c r="B146" s="4">
        <v>531</v>
      </c>
      <c r="C146" s="14">
        <v>520</v>
      </c>
      <c r="D146" s="4">
        <v>548</v>
      </c>
      <c r="E146" s="4">
        <v>125.6</v>
      </c>
      <c r="F146" s="4">
        <v>201329.99</v>
      </c>
      <c r="G146" s="4">
        <v>81507.08</v>
      </c>
      <c r="H146" s="4">
        <v>13.08</v>
      </c>
    </row>
    <row r="147" spans="1:8" x14ac:dyDescent="0.35">
      <c r="A147" s="7">
        <v>46003</v>
      </c>
      <c r="B147" s="4">
        <v>576</v>
      </c>
      <c r="C147" s="14">
        <v>569</v>
      </c>
      <c r="D147" s="5">
        <v>589</v>
      </c>
      <c r="E147" s="5">
        <v>127.3</v>
      </c>
      <c r="F147" s="5">
        <v>204674.98</v>
      </c>
      <c r="G147" s="5">
        <v>91621.42</v>
      </c>
      <c r="H147" s="5">
        <v>11.19</v>
      </c>
    </row>
    <row r="148" spans="1:8" x14ac:dyDescent="0.35">
      <c r="A148" s="6">
        <v>46004</v>
      </c>
      <c r="B148" s="4">
        <v>610</v>
      </c>
      <c r="C148" s="14">
        <v>614</v>
      </c>
      <c r="D148" s="4">
        <v>600</v>
      </c>
      <c r="E148" s="4">
        <v>129</v>
      </c>
      <c r="F148" s="4">
        <v>205574.64</v>
      </c>
      <c r="G148" s="4">
        <v>104669.59</v>
      </c>
      <c r="H148" s="4">
        <v>10.31</v>
      </c>
    </row>
    <row r="149" spans="1:8" x14ac:dyDescent="0.35">
      <c r="A149" s="7">
        <v>46005</v>
      </c>
      <c r="B149" s="4">
        <v>538</v>
      </c>
      <c r="C149" s="14">
        <v>530</v>
      </c>
      <c r="D149" s="5">
        <v>575</v>
      </c>
      <c r="E149" s="5">
        <v>130.6</v>
      </c>
      <c r="F149" s="5">
        <v>211639.30499999999</v>
      </c>
      <c r="G149" s="5">
        <v>109608.34</v>
      </c>
      <c r="H149" s="5">
        <v>10.220000000000001</v>
      </c>
    </row>
    <row r="150" spans="1:8" x14ac:dyDescent="0.35">
      <c r="A150" s="6">
        <v>46006</v>
      </c>
      <c r="B150" s="4">
        <v>524</v>
      </c>
      <c r="C150" s="14">
        <v>522</v>
      </c>
      <c r="D150" s="4">
        <v>529</v>
      </c>
      <c r="E150" s="4">
        <v>132.1</v>
      </c>
      <c r="F150" s="4">
        <v>222044.98300000001</v>
      </c>
      <c r="G150" s="4">
        <v>142466.5</v>
      </c>
      <c r="H150" s="4">
        <v>9.4700000000000006</v>
      </c>
    </row>
    <row r="151" spans="1:8" x14ac:dyDescent="0.35">
      <c r="A151" s="7">
        <v>46007</v>
      </c>
      <c r="B151" s="4">
        <v>634</v>
      </c>
      <c r="C151" s="14">
        <v>614</v>
      </c>
      <c r="D151" s="5">
        <v>644</v>
      </c>
      <c r="E151" s="5">
        <v>133.69999999999999</v>
      </c>
      <c r="F151" s="5">
        <v>228563.64300000001</v>
      </c>
      <c r="G151" s="5">
        <v>169073.41</v>
      </c>
      <c r="H151" s="5">
        <v>9.0299999999999994</v>
      </c>
    </row>
    <row r="152" spans="1:8" x14ac:dyDescent="0.35">
      <c r="A152" s="6">
        <v>46008</v>
      </c>
      <c r="B152" s="4">
        <v>710</v>
      </c>
      <c r="C152" s="14">
        <v>681</v>
      </c>
      <c r="D152" s="4">
        <v>704</v>
      </c>
      <c r="E152" s="4">
        <v>135.30000000000001</v>
      </c>
      <c r="F152" s="4">
        <v>253507.62899999999</v>
      </c>
      <c r="G152" s="4">
        <v>153452.87</v>
      </c>
      <c r="H152" s="4">
        <v>8.5399999999999991</v>
      </c>
    </row>
    <row r="153" spans="1:8" x14ac:dyDescent="0.35">
      <c r="A153" s="7">
        <v>46009</v>
      </c>
      <c r="B153" s="4">
        <v>752</v>
      </c>
      <c r="C153" s="14">
        <v>721</v>
      </c>
      <c r="D153" s="5">
        <v>736</v>
      </c>
      <c r="E153" s="5">
        <v>136.80000000000001</v>
      </c>
      <c r="F153" s="5">
        <v>270481.29499999998</v>
      </c>
      <c r="G153" s="5">
        <v>150587.04</v>
      </c>
      <c r="H153" s="5">
        <v>8.0399999999999991</v>
      </c>
    </row>
    <row r="154" spans="1:8" x14ac:dyDescent="0.35">
      <c r="A154" s="6">
        <v>46010</v>
      </c>
      <c r="B154" s="4">
        <v>686</v>
      </c>
      <c r="C154" s="14">
        <v>537</v>
      </c>
      <c r="D154" s="4">
        <v>691</v>
      </c>
      <c r="E154" s="4">
        <v>138.19999999999999</v>
      </c>
      <c r="F154" s="4">
        <v>272869.95299999998</v>
      </c>
      <c r="G154" s="4">
        <v>152688.25</v>
      </c>
      <c r="H154" s="4">
        <v>7.08</v>
      </c>
    </row>
    <row r="155" spans="1:8" x14ac:dyDescent="0.35">
      <c r="A155" s="7">
        <v>46011</v>
      </c>
      <c r="B155" s="4">
        <v>685</v>
      </c>
      <c r="C155" s="14">
        <v>665</v>
      </c>
      <c r="D155" s="5">
        <v>691</v>
      </c>
      <c r="E155" s="5">
        <v>139.5</v>
      </c>
      <c r="F155" s="5">
        <v>312750.033</v>
      </c>
      <c r="G155" s="5">
        <v>187559.34</v>
      </c>
      <c r="H155" s="5">
        <v>7.55</v>
      </c>
    </row>
    <row r="156" spans="1:8" x14ac:dyDescent="0.35">
      <c r="A156" s="8">
        <v>46012</v>
      </c>
      <c r="B156" s="9">
        <v>885</v>
      </c>
      <c r="C156" s="16">
        <v>858</v>
      </c>
      <c r="D156" s="9">
        <v>894</v>
      </c>
      <c r="E156" s="9">
        <v>140.69999999999999</v>
      </c>
      <c r="F156" s="9">
        <v>314546.65000000002</v>
      </c>
      <c r="G156" s="9">
        <v>213436.52</v>
      </c>
      <c r="H156" s="9">
        <v>8.06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6151A-1F61-4850-99C6-92EFD09067FA}">
  <dimension ref="A1"/>
  <sheetViews>
    <sheetView topLeftCell="A22" zoomScale="59" zoomScaleNormal="59" workbookViewId="0">
      <selection activeCell="S3" sqref="S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204D-8412-459D-8784-379BE8B310A2}">
  <dimension ref="A1"/>
  <sheetViews>
    <sheetView topLeftCell="A34" zoomScale="72" zoomScaleNormal="72" workbookViewId="0">
      <selection activeCell="M3" sqref="M3"/>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 Data</vt:lpstr>
      <vt:lpstr>Pivot Chart</vt:lpstr>
      <vt:lpstr>Research Question</vt:lpstr>
      <vt:lpstr>Interpretation </vt:lpstr>
      <vt:lpstr>Regression For Gdp</vt:lpstr>
      <vt:lpstr>Regression For Disbursement</vt:lpstr>
      <vt:lpstr>Regression For Interestrate</vt:lpstr>
      <vt:lpstr>Dashboard</vt:lpstr>
      <vt:lpstr>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Abdulfatai Adeyanju</cp:lastModifiedBy>
  <dcterms:created xsi:type="dcterms:W3CDTF">2025-12-11T11:53:46Z</dcterms:created>
  <dcterms:modified xsi:type="dcterms:W3CDTF">2025-12-24T18:59:49Z</dcterms:modified>
</cp:coreProperties>
</file>